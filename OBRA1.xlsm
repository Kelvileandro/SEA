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EstaPasta_de_trabalho" defaultThemeVersion="124226"/>
  <mc:AlternateContent xmlns:mc="http://schemas.openxmlformats.org/markup-compatibility/2006">
    <mc:Choice Requires="x15">
      <x15ac:absPath xmlns:x15ac="http://schemas.microsoft.com/office/spreadsheetml/2010/11/ac" url="C:\Users\Kelvi\Documents\Teste\"/>
    </mc:Choice>
  </mc:AlternateContent>
  <xr:revisionPtr revIDLastSave="0" documentId="8_{67A8961F-B471-4B5A-B6AC-3B14D8A35C7C}" xr6:coauthVersionLast="47" xr6:coauthVersionMax="47" xr10:uidLastSave="{00000000-0000-0000-0000-000000000000}"/>
  <bookViews>
    <workbookView xWindow="-120" yWindow="-120" windowWidth="27870" windowHeight="15180" tabRatio="898" xr2:uid="{00000000-000D-0000-FFFF-FFFF00000000}"/>
  </bookViews>
  <sheets>
    <sheet name="S" sheetId="41" r:id="rId1"/>
    <sheet name="Planilha1" sheetId="39" state="hidden" r:id="rId2"/>
  </sheets>
  <calcPr calcId="191029"/>
</workbook>
</file>

<file path=xl/calcChain.xml><?xml version="1.0" encoding="utf-8"?>
<calcChain xmlns="http://schemas.openxmlformats.org/spreadsheetml/2006/main">
  <c r="N190" i="41" l="1"/>
  <c r="N189" i="41"/>
  <c r="N188" i="41"/>
  <c r="M190" i="41"/>
  <c r="M189" i="41"/>
  <c r="M188" i="41"/>
  <c r="O185" i="41" l="1"/>
  <c r="M185" i="41"/>
  <c r="M135" i="41"/>
  <c r="M70" i="41"/>
  <c r="M66" i="41"/>
  <c r="M182" i="41"/>
  <c r="M181" i="41"/>
  <c r="M180" i="41"/>
  <c r="M179" i="41"/>
  <c r="M178" i="41"/>
  <c r="M177" i="41"/>
  <c r="M176" i="41"/>
  <c r="M175" i="41"/>
  <c r="M174" i="41"/>
  <c r="M173" i="41"/>
  <c r="M172" i="41"/>
  <c r="M171" i="41"/>
  <c r="M170" i="41"/>
  <c r="M169" i="41"/>
  <c r="M168" i="41"/>
  <c r="M167" i="41"/>
  <c r="M166" i="41"/>
  <c r="M165" i="41"/>
  <c r="M164" i="41"/>
  <c r="M163" i="41"/>
  <c r="M162" i="41"/>
  <c r="M161" i="41"/>
  <c r="M160" i="41"/>
  <c r="M159" i="41"/>
  <c r="M158" i="41"/>
  <c r="M157" i="41"/>
  <c r="M156" i="41"/>
  <c r="M155" i="41"/>
  <c r="M154" i="41"/>
  <c r="M153" i="41"/>
  <c r="M152" i="41"/>
  <c r="M151" i="41"/>
  <c r="M150" i="41"/>
  <c r="M149" i="41"/>
  <c r="M148" i="41"/>
  <c r="M147" i="41"/>
  <c r="M146" i="41"/>
  <c r="M145" i="41"/>
  <c r="M144" i="41"/>
  <c r="M143" i="41"/>
  <c r="M142" i="41"/>
  <c r="M141" i="41"/>
  <c r="M140" i="41"/>
  <c r="M139" i="41"/>
  <c r="M138" i="41"/>
  <c r="M137" i="41"/>
  <c r="M136" i="41"/>
  <c r="M134" i="41"/>
  <c r="M133" i="41"/>
  <c r="M132" i="41"/>
  <c r="M131" i="41"/>
  <c r="M130" i="41"/>
  <c r="M129" i="41"/>
  <c r="M128" i="41"/>
  <c r="M127" i="41"/>
  <c r="M126" i="41"/>
  <c r="M125" i="41"/>
  <c r="M124" i="41"/>
  <c r="M123" i="41"/>
  <c r="M122" i="41"/>
  <c r="M121" i="41"/>
  <c r="M120" i="41"/>
  <c r="M119" i="41"/>
  <c r="M118" i="41"/>
  <c r="M117" i="41"/>
  <c r="M116" i="41"/>
  <c r="M115" i="41"/>
  <c r="M114" i="41"/>
  <c r="M113" i="41"/>
  <c r="M112" i="41"/>
  <c r="M111" i="41"/>
  <c r="M110" i="41"/>
  <c r="M109" i="41"/>
  <c r="M108" i="41"/>
  <c r="M107" i="41"/>
  <c r="M106" i="41"/>
  <c r="M105" i="41"/>
  <c r="M104" i="41"/>
  <c r="M103" i="41"/>
  <c r="M102" i="41"/>
  <c r="M101" i="41"/>
  <c r="M100" i="41"/>
  <c r="M99" i="41"/>
  <c r="M98" i="41"/>
  <c r="M97" i="41"/>
  <c r="M96" i="41"/>
  <c r="M95" i="41"/>
  <c r="M94" i="41"/>
  <c r="M93" i="41"/>
  <c r="M92" i="41"/>
  <c r="M91" i="41"/>
  <c r="M90" i="41"/>
  <c r="M89" i="41"/>
  <c r="M88" i="41"/>
  <c r="M87" i="41"/>
  <c r="M86" i="41"/>
  <c r="M85" i="41"/>
  <c r="M84" i="41"/>
  <c r="M83" i="41"/>
  <c r="M82" i="41"/>
  <c r="M81" i="41"/>
  <c r="M80" i="41"/>
  <c r="M79" i="41"/>
  <c r="M78" i="41"/>
  <c r="M77" i="41"/>
  <c r="M76" i="41"/>
  <c r="M75" i="41"/>
  <c r="M74" i="41"/>
  <c r="M73" i="41"/>
  <c r="M72" i="41"/>
  <c r="M71" i="41"/>
  <c r="M69" i="41"/>
  <c r="M68" i="41"/>
  <c r="M67" i="41"/>
  <c r="M65" i="41"/>
  <c r="M64" i="41"/>
  <c r="M63" i="41"/>
  <c r="M62" i="41"/>
  <c r="M61" i="41"/>
  <c r="M60" i="41"/>
  <c r="M59" i="41"/>
  <c r="M58" i="41"/>
  <c r="M57" i="41"/>
  <c r="M56" i="41"/>
  <c r="M55" i="41"/>
  <c r="M54" i="41"/>
  <c r="M53" i="41"/>
  <c r="M52" i="41"/>
  <c r="M51" i="41"/>
  <c r="M50" i="41"/>
  <c r="M49" i="41"/>
  <c r="M48" i="41"/>
  <c r="M47" i="41"/>
  <c r="M46" i="41"/>
  <c r="M45" i="41"/>
  <c r="M44" i="41"/>
  <c r="M43" i="41"/>
  <c r="M42" i="41"/>
  <c r="M41" i="41"/>
  <c r="M40" i="41"/>
  <c r="M39" i="41"/>
  <c r="M38" i="41"/>
  <c r="M37" i="41"/>
  <c r="M36" i="41"/>
  <c r="M35" i="41"/>
  <c r="M34" i="41"/>
  <c r="M33" i="41"/>
  <c r="M32" i="41"/>
  <c r="M31" i="41"/>
  <c r="M30" i="41"/>
  <c r="M29" i="41"/>
  <c r="M28" i="41"/>
  <c r="M27" i="41"/>
  <c r="M26" i="41"/>
  <c r="M25" i="41"/>
  <c r="M24" i="41"/>
  <c r="M23" i="41"/>
  <c r="M22" i="41"/>
  <c r="M21" i="41"/>
  <c r="M20" i="41"/>
  <c r="M19" i="41"/>
  <c r="M18" i="41"/>
  <c r="M17" i="41"/>
  <c r="M16" i="41"/>
  <c r="O182" i="41"/>
  <c r="O181" i="41"/>
  <c r="O180" i="41"/>
  <c r="O179" i="41"/>
  <c r="O178" i="41"/>
  <c r="O177" i="41"/>
  <c r="O176" i="41"/>
  <c r="O175" i="41"/>
  <c r="O174" i="41"/>
  <c r="O173" i="41"/>
  <c r="O172" i="41"/>
  <c r="O171" i="41"/>
  <c r="O170" i="41"/>
  <c r="O169" i="41"/>
  <c r="O168" i="41"/>
  <c r="O167" i="41"/>
  <c r="O166" i="41"/>
  <c r="O165" i="41"/>
  <c r="O164" i="41"/>
  <c r="O163" i="41"/>
  <c r="O162" i="41"/>
  <c r="O161" i="41"/>
  <c r="O160" i="41"/>
  <c r="O159" i="41"/>
  <c r="O158" i="41"/>
  <c r="O157" i="41"/>
  <c r="O156" i="41"/>
  <c r="O155" i="41"/>
  <c r="O154" i="41"/>
  <c r="O153" i="41"/>
  <c r="O152" i="41"/>
  <c r="O151" i="41"/>
  <c r="O150" i="41"/>
  <c r="O149" i="41"/>
  <c r="O148" i="41"/>
  <c r="O147" i="41"/>
  <c r="O146" i="41"/>
  <c r="O145" i="41"/>
  <c r="O144" i="41"/>
  <c r="O143" i="41"/>
  <c r="O142" i="41"/>
  <c r="O141" i="41"/>
  <c r="O140" i="41"/>
  <c r="O139" i="41"/>
  <c r="O138" i="41"/>
  <c r="O137" i="41"/>
  <c r="O136" i="41"/>
  <c r="O135" i="41"/>
  <c r="O134" i="41"/>
  <c r="O133" i="41"/>
  <c r="O132" i="41"/>
  <c r="O131" i="41"/>
  <c r="O130" i="41"/>
  <c r="O129" i="41"/>
  <c r="O128" i="41"/>
  <c r="O127" i="41"/>
  <c r="O126" i="41"/>
  <c r="O125" i="41"/>
  <c r="O124" i="41"/>
  <c r="O123" i="41"/>
  <c r="O122" i="41"/>
  <c r="O121" i="41"/>
  <c r="O120" i="41"/>
  <c r="O119" i="41"/>
  <c r="O118" i="41"/>
  <c r="O117" i="41"/>
  <c r="O116" i="41"/>
  <c r="O115" i="41"/>
  <c r="O114" i="41"/>
  <c r="O113" i="41"/>
  <c r="O112" i="41"/>
  <c r="O111" i="41"/>
  <c r="O110" i="41"/>
  <c r="O109" i="41"/>
  <c r="O108" i="41"/>
  <c r="O107" i="41"/>
  <c r="O106" i="41"/>
  <c r="O105" i="41"/>
  <c r="O104" i="41"/>
  <c r="O103" i="41"/>
  <c r="O102" i="41"/>
  <c r="O101" i="41"/>
  <c r="O100" i="41"/>
  <c r="O99" i="41"/>
  <c r="O98" i="41"/>
  <c r="O97" i="41"/>
  <c r="O96" i="41"/>
  <c r="O95" i="41"/>
  <c r="O94" i="41"/>
  <c r="O93" i="41"/>
  <c r="O92" i="41"/>
  <c r="O91" i="41"/>
  <c r="O90" i="41"/>
  <c r="O89" i="41"/>
  <c r="O88" i="41"/>
  <c r="O87" i="41"/>
  <c r="O86" i="41"/>
  <c r="O85" i="41"/>
  <c r="O84" i="41"/>
  <c r="O83" i="41"/>
  <c r="O82" i="41"/>
  <c r="O81" i="41"/>
  <c r="O80" i="41"/>
  <c r="O79" i="41"/>
  <c r="O78" i="41"/>
  <c r="O77" i="41"/>
  <c r="O76" i="41"/>
  <c r="O75" i="41"/>
  <c r="O74" i="41"/>
  <c r="O73" i="41"/>
  <c r="O72" i="41"/>
  <c r="O71" i="41"/>
  <c r="O70" i="41"/>
  <c r="O69" i="41"/>
  <c r="O68" i="41"/>
  <c r="O67" i="41"/>
  <c r="O66" i="41"/>
  <c r="O65" i="41"/>
  <c r="O64" i="41"/>
  <c r="O63" i="41"/>
  <c r="O62" i="41"/>
  <c r="O61" i="41"/>
  <c r="O60" i="41"/>
  <c r="O59" i="41"/>
  <c r="O58" i="41"/>
  <c r="O57" i="41"/>
  <c r="O56" i="41"/>
  <c r="O55" i="41"/>
  <c r="O54" i="41"/>
  <c r="O53" i="41"/>
  <c r="O52" i="41"/>
  <c r="O51" i="41"/>
  <c r="O50" i="41"/>
  <c r="O49" i="41"/>
  <c r="O48" i="41"/>
  <c r="O47" i="41"/>
  <c r="O46" i="41"/>
  <c r="O45" i="41"/>
  <c r="O44" i="41"/>
  <c r="O43" i="41"/>
  <c r="O42" i="41"/>
  <c r="O41" i="41"/>
  <c r="O40" i="41"/>
  <c r="O39" i="41"/>
  <c r="O38" i="41"/>
  <c r="O37" i="41"/>
  <c r="O36" i="41"/>
  <c r="O35" i="41"/>
  <c r="O34" i="41"/>
  <c r="O33" i="41"/>
  <c r="O32" i="41"/>
  <c r="O31" i="41"/>
  <c r="O30" i="41"/>
  <c r="O29" i="41"/>
  <c r="O28" i="41"/>
  <c r="O27" i="41"/>
  <c r="O26" i="41"/>
  <c r="O25" i="41"/>
  <c r="O24" i="41"/>
  <c r="O23" i="41"/>
  <c r="O22" i="41"/>
  <c r="O21" i="41"/>
  <c r="O20" i="41"/>
  <c r="O19" i="41"/>
  <c r="O18" i="41"/>
  <c r="O17" i="41"/>
  <c r="O16" i="41"/>
  <c r="O15" i="41"/>
  <c r="M15" i="41"/>
  <c r="K36" i="39" l="1"/>
</calcChain>
</file>

<file path=xl/sharedStrings.xml><?xml version="1.0" encoding="utf-8"?>
<sst xmlns="http://schemas.openxmlformats.org/spreadsheetml/2006/main" count="585" uniqueCount="354">
  <si>
    <t>BDI</t>
  </si>
  <si>
    <t>2.2</t>
  </si>
  <si>
    <t>3.1</t>
  </si>
  <si>
    <t>m</t>
  </si>
  <si>
    <t>UNID.</t>
  </si>
  <si>
    <t>BDI (R$)</t>
  </si>
  <si>
    <t>DATA:</t>
  </si>
  <si>
    <t>OBRA:</t>
  </si>
  <si>
    <t>ENDEREÇO:</t>
  </si>
  <si>
    <t>BDI:</t>
  </si>
  <si>
    <t>LOCAL:</t>
  </si>
  <si>
    <t>ÁREA(m²):</t>
  </si>
  <si>
    <t>PREÇO UNITÁRIO</t>
  </si>
  <si>
    <t>MATERIAL
(R$)</t>
  </si>
  <si>
    <t>MÃO DE OBRA
(R$)</t>
  </si>
  <si>
    <t>TOTAL
(R$)</t>
  </si>
  <si>
    <t>TOTAL COM BDI
(R$)</t>
  </si>
  <si>
    <t>1.1</t>
  </si>
  <si>
    <t>2.1</t>
  </si>
  <si>
    <t>2.3</t>
  </si>
  <si>
    <t>2.4</t>
  </si>
  <si>
    <t>SINAPI</t>
  </si>
  <si>
    <t>TCPO</t>
  </si>
  <si>
    <t>COTAÇÃO</t>
  </si>
  <si>
    <t>UD</t>
  </si>
  <si>
    <t>3.2</t>
  </si>
  <si>
    <t>5.1</t>
  </si>
  <si>
    <t/>
  </si>
  <si>
    <t>CÓDIGO</t>
  </si>
  <si>
    <t>DESCRIÇÃO</t>
  </si>
  <si>
    <t>ADMINISTRAÇÃO DE OBRA E SERVIÇOS INICIAIS</t>
  </si>
  <si>
    <t>MES</t>
  </si>
  <si>
    <t>M2</t>
  </si>
  <si>
    <t>M3</t>
  </si>
  <si>
    <t>M</t>
  </si>
  <si>
    <t>UN</t>
  </si>
  <si>
    <t>TOTAL</t>
  </si>
  <si>
    <t>PREÇO TOTAL</t>
  </si>
  <si>
    <t>ITEM</t>
  </si>
  <si>
    <t>COMPOSIÇÃO PRÓPRIA</t>
  </si>
  <si>
    <t>4.1</t>
  </si>
  <si>
    <t>MATERIAL</t>
  </si>
  <si>
    <t>MÃO-DE-OBRA</t>
  </si>
  <si>
    <t>TOTAL
COM BDI</t>
  </si>
  <si>
    <t>MÊS</t>
  </si>
  <si>
    <t>1.4</t>
  </si>
  <si>
    <t>Mestre de obras - período integral - 220h/mês</t>
  </si>
  <si>
    <t>Placa de obra em chapa de aço galvanizado em cavalete de madeira - conforme modelo fornecido pela fiscalização</t>
  </si>
  <si>
    <t>2.1.1</t>
  </si>
  <si>
    <t>2.2.1</t>
  </si>
  <si>
    <t>2.2.2</t>
  </si>
  <si>
    <t>2.3.1</t>
  </si>
  <si>
    <t>3.1.1</t>
  </si>
  <si>
    <t>3.2.1</t>
  </si>
  <si>
    <t>1.5</t>
  </si>
  <si>
    <t>1.6</t>
  </si>
  <si>
    <t>2.5</t>
  </si>
  <si>
    <t>Locacao de andaime metalico tipo fachadeiro, largura de 1,20 m, altura por peca de 2,0 m, incluindo sapatas e itens necessarios a instalacao</t>
  </si>
  <si>
    <t>SERVIÇOS COMPLEMENTARES</t>
  </si>
  <si>
    <t>19.105.001501.SER</t>
  </si>
  <si>
    <t>19.105.001504.SER</t>
  </si>
  <si>
    <t>QTDE</t>
  </si>
  <si>
    <t>COEF.</t>
  </si>
  <si>
    <t>1.2</t>
  </si>
  <si>
    <t>Engenheiro ou arquiteto de obra - meio período - 110h/mês (220/2)</t>
  </si>
  <si>
    <t>ADEQUAÇÕES DE SEGURANÇA</t>
  </si>
  <si>
    <t>20193 ADAPTADO</t>
  </si>
  <si>
    <t>3.2.2</t>
  </si>
  <si>
    <t>3.1.2</t>
  </si>
  <si>
    <t>4.2</t>
  </si>
  <si>
    <t>4.3</t>
  </si>
  <si>
    <t>BDI EQUIPAMENTOS:</t>
  </si>
  <si>
    <t>Montagem e desmontagem de andaime modular fachadeiro, com piso metálico, para edificações em geral</t>
  </si>
  <si>
    <t>5.2</t>
  </si>
  <si>
    <t>pç</t>
  </si>
  <si>
    <t>6.1</t>
  </si>
  <si>
    <t>7.1</t>
  </si>
  <si>
    <t>5.3</t>
  </si>
  <si>
    <t>2.1.2</t>
  </si>
  <si>
    <t>2.2.3</t>
  </si>
  <si>
    <t>ADEQUAÇÕES DE ACESSIBILIDADE</t>
  </si>
  <si>
    <t>8.1</t>
  </si>
  <si>
    <t>4.2.1</t>
  </si>
  <si>
    <t>4.2.2</t>
  </si>
  <si>
    <t>TRIBUNAL REGIONAL DO TRABALHO DA 9ª REGIÃO</t>
  </si>
  <si>
    <t>Técnico em segurança do trabalho - meio período - 110h/mês (220/2)</t>
  </si>
  <si>
    <t>1.7</t>
  </si>
  <si>
    <t>PINTURA EXTERNA</t>
  </si>
  <si>
    <t>PINTURA DE PISOS</t>
  </si>
  <si>
    <t>PINTURA INTERNA</t>
  </si>
  <si>
    <t>PINTURA DE PAREDES</t>
  </si>
  <si>
    <t>PINTURA DE TETOS</t>
  </si>
  <si>
    <t>ADEQUAÇÕES NO SISTEMA DE REFRIGERAÇÃO</t>
  </si>
  <si>
    <t>SUBSTITUIÇÃO DE APARELHOS DE AR CONDICIONADO CONVENCIONAIS POR INVERTER</t>
  </si>
  <si>
    <t>7.2</t>
  </si>
  <si>
    <t>INSTALAÇÃO DE CORTINA DE AR NO HALL PÚBLICO</t>
  </si>
  <si>
    <t>2.1.3</t>
  </si>
  <si>
    <t>2.1.4</t>
  </si>
  <si>
    <t>2.3.2</t>
  </si>
  <si>
    <t>3.3</t>
  </si>
  <si>
    <t>3.3.1</t>
  </si>
  <si>
    <t>3.5</t>
  </si>
  <si>
    <t>3.5.1</t>
  </si>
  <si>
    <t>3.5.2</t>
  </si>
  <si>
    <t>7.3</t>
  </si>
  <si>
    <t>Limpeza de superfície com jato de água de alta pressão -  Estacionamento interno, rampa de veículos e todas as calçadas em piso cimentado do imóvel</t>
  </si>
  <si>
    <t>Pintura de piso com tinta acrílica PREMIUM, aplicação manual, 2 demãos, incluso fundo preparador - Estacionamento interno, rampa de veículos e todas as calçadas em piso cimentado do imóvel</t>
  </si>
  <si>
    <t>4.3.1</t>
  </si>
  <si>
    <t>4.3.2</t>
  </si>
  <si>
    <t>Emassamento com massa látex, aplicação em teto, uma demão, lixamento manual</t>
  </si>
  <si>
    <t>4.1.1</t>
  </si>
  <si>
    <t>Emassamento com massa látex, aplicação em parede, uma demão, lixamento manual</t>
  </si>
  <si>
    <t>4.1.2</t>
  </si>
  <si>
    <t>3.5.3</t>
  </si>
  <si>
    <t>3.6</t>
  </si>
  <si>
    <t>3.6.1</t>
  </si>
  <si>
    <t>3.6.2</t>
  </si>
  <si>
    <t>6.1.1</t>
  </si>
  <si>
    <t>5.3.1</t>
  </si>
  <si>
    <t>5.3.2</t>
  </si>
  <si>
    <t>Desconexão da rede frigorifica existente, remoção de condensadora e evaporadora, instalação de condensadora e evaporadora inverter, reconexão nas linhas frigoríficas existentes, ligação elétrica e carga de gás</t>
  </si>
  <si>
    <t>5.2.1</t>
  </si>
  <si>
    <t>5.2.2</t>
  </si>
  <si>
    <t>5.2.3</t>
  </si>
  <si>
    <t>Conjunto de cabos de cobre flexível, antichama, 450/750V - 2,5mm2. (Conjunto com 5 cabos por aparelho) ligação elétrica da evaporadora à condensadora. A metragem corresponde à distância entre a evaporadora e condensadora</t>
  </si>
  <si>
    <t>Parede com placas de gesso acartonado (drywall), para uso interno, com uma face simples e estrutura metálica com guias simples, sem vãos</t>
  </si>
  <si>
    <t>5.1.1</t>
  </si>
  <si>
    <t>7.1.1</t>
  </si>
  <si>
    <t>7.1.2</t>
  </si>
  <si>
    <t>7.1.3</t>
  </si>
  <si>
    <t>7.1.4</t>
  </si>
  <si>
    <t>7.1.5</t>
  </si>
  <si>
    <t>7.2.1</t>
  </si>
  <si>
    <t>7.2.2</t>
  </si>
  <si>
    <t>PINTURA DE ELEMENTOS METÁLICOS</t>
  </si>
  <si>
    <t>VARA DO TRABALHO DE ARAPONGAS</t>
  </si>
  <si>
    <t>ARAPONGAS-PR</t>
  </si>
  <si>
    <t>RUA HARPIA, 405</t>
  </si>
  <si>
    <t>PRÉDIO PRINCIPAL</t>
  </si>
  <si>
    <t>PRÉDIO DO ARQUIVO</t>
  </si>
  <si>
    <t>Remoção de telhas de fibrocimento, de forma mecanizada, com uso de guidaste sem reaproveitamento. inclusive remoção de calhas e rufos  - Prédio principal, exceto cobertura da plataforma elevatória e coberturas da passarela e de veículos</t>
  </si>
  <si>
    <t>REFORMA DAS COBERTURAS</t>
  </si>
  <si>
    <t>REMOÇÃO DAS TELHAS, TESOURAS, TERÇAS, CALHAS E RUFOS EXISTENTES</t>
  </si>
  <si>
    <t>Remoção de tesouras de madeira/metálica, com vão maior ou igual a 8m, de forma manual, sem reaproveitamento - Todas as tesouras de madeira existentes no prédio principal (pavimento inferior e superior)</t>
  </si>
  <si>
    <t>Remoção de tesouras de madeira/metálica, com vão menor que 8m, de forma manual, sem reaproveitamento</t>
  </si>
  <si>
    <t>Remoção de trama de madeira/metálica para cobertura (terças e contraventamentos), de forma manual, sem reaproveitamento</t>
  </si>
  <si>
    <t>Remoção de telhas de fibrocimento, de forma mecanizada, com uso de guidaste sem reaproveitamento. inclusive remoção de rufos  - Cobertura do prédio do arquivo</t>
  </si>
  <si>
    <t>2.1.5</t>
  </si>
  <si>
    <t>2.1.6</t>
  </si>
  <si>
    <t>ALVENARIA DE COMPLEMENTAÇÃO DA PLATIBANDA DO PRÉDIO PRINCIPAL</t>
  </si>
  <si>
    <t>Fabricação de fôrma para vigas, em chapa de madeira compensada resinada, e = 17 mm - Vigas cinta de coroamento da alvenaria de aumento da altura das platibandas 14cm x 20cm</t>
  </si>
  <si>
    <t>Fabricação de fôrma para pilares, em chapa de madeira compensada resinada, e = 17 mm - pilaretes de travamento da alvenaria de aumento da altura das platibandas 14cm x 14cm a cada 2,50m</t>
  </si>
  <si>
    <t>2.2.4</t>
  </si>
  <si>
    <t>Chapisco aplicado em alvenaria de fachada, com colher de pedreiro.  Argamassa traço 1:3 com preparo manual. Elevação da platibanda do prédio principal</t>
  </si>
  <si>
    <t>2.2.5</t>
  </si>
  <si>
    <t>Emboço/Rebôco  em massa única, em argamassa traço 1:2:8, preparo manual, aplicada manualmente em faces de paredes, espessura de 10mm, com execução de taliscas. Elevação da platibanda do prédio principal</t>
  </si>
  <si>
    <t>ESTRUTURA DE COBERTURA</t>
  </si>
  <si>
    <t>Trama de aço composta por terças para telhados de até 2 águas para telha metálica termoacústica, inclusos contraventamentos e transporte vertical - Enterçamento e contraventamentos da cobertura do PAVIMENTO SUPERIOR</t>
  </si>
  <si>
    <t>2.3.3</t>
  </si>
  <si>
    <t>2.3.4</t>
  </si>
  <si>
    <t>2.3.5</t>
  </si>
  <si>
    <t>2.3.6</t>
  </si>
  <si>
    <t>COBERTURA METÁLICA TERMOACÚSTICA</t>
  </si>
  <si>
    <t>2.4.1</t>
  </si>
  <si>
    <t>2.4.2</t>
  </si>
  <si>
    <t>Cobertura com telha trapezoidal em galvalume, tipo sanduíche com isolamento térmico e acústico  (telha  + PU/PIR + telha)  - altura da telha 40mm, e=0,50 mm - injeção 30mm - com instalação  de fita de vedação dupla face nas emendas longitudinais e transversais. incluso içamento - toda telha deverá ter o tamanho total da água, não devendo ter sobreposição transversal, exceto na goiva</t>
  </si>
  <si>
    <t>2.4.3</t>
  </si>
  <si>
    <t>2.4.4</t>
  </si>
  <si>
    <t>2.5.1</t>
  </si>
  <si>
    <t>SINAPI ADAPTADO</t>
  </si>
  <si>
    <t>Rufo/contrarrufo em chapa de aço galvanizado número #26, corte de 33 cm, incluso içamento - Todos os rufos/contrarrufos do imóvel deverão ser substituídos</t>
  </si>
  <si>
    <t>2.5.2</t>
  </si>
  <si>
    <t>Chapim (rufo capa) em aço galvanizado, corte 33.  Todos os rufos de topo das platibandas deverão ser substituídos</t>
  </si>
  <si>
    <t>2.5.3</t>
  </si>
  <si>
    <t>REFORMA DAS COBERTURAS, PINTURA GERAL, ADEQUAÇÕES NO SISTEMA DE REFRIGERAÇÃO, ADEQUAÇÕES DE SEGURANÇA, ADEQUAÇÕES DE ACESSIBILIDADE E SERVIÇOS COMPLEMENTARES NA VT DE ARAPONGAS</t>
  </si>
  <si>
    <t>Tubo em cobre flexível, DN = 3/8, com isolamento, instalado em ramal de alimentação de ar condicionado com condensadora individual. Fornecimento e instalação</t>
  </si>
  <si>
    <t>Tubo em cobre flexível, DN = 3/4", com isolamento, instalado em ramal de alimentação de ar condicionado com condensadora individual. Fornecimento e instalação</t>
  </si>
  <si>
    <t xml:space="preserve"> Instalação de condensadora e evaporadora inverter, conexão nas linhas frigoríficas, ligação elétrica e carga de gás - Local de instalação: Hall público do  térreo</t>
  </si>
  <si>
    <t>INSTALAÇÃO DE APARELHO DE AR CONDICIONADO NO HALL PÚBLICO - TÉRREO</t>
  </si>
  <si>
    <t>INSTALAÇÃO DE CONCERTINA NA DIVISA POSTERIOR E LATERAL DIREITA</t>
  </si>
  <si>
    <t>REVITALIZAÇÃO DO PASSEIO PÚBLICO</t>
  </si>
  <si>
    <r>
      <t>Corte, dobra e montagem de armadura longitudinal (4</t>
    </r>
    <r>
      <rPr>
        <sz val="10"/>
        <rFont val="Symbol"/>
        <family val="1"/>
        <charset val="2"/>
      </rPr>
      <t>f</t>
    </r>
    <r>
      <rPr>
        <sz val="10"/>
        <rFont val="Arial"/>
        <family val="2"/>
      </rPr>
      <t>8mm CA 50-A) e transversal  (</t>
    </r>
    <r>
      <rPr>
        <sz val="10"/>
        <rFont val="Symbol"/>
        <family val="1"/>
        <charset val="2"/>
      </rPr>
      <t>f</t>
    </r>
    <r>
      <rPr>
        <sz val="10"/>
        <rFont val="Arial"/>
        <family val="2"/>
      </rPr>
      <t>5mm c/20cm CA 60-B) - Pilaretes e vigas cinta no aumento da altura da platibanda do prédio principal</t>
    </r>
  </si>
  <si>
    <t>Concretagem de vigas e pilares, Fck = 25 mpa,  com uso de baldes - lançamento, adensamento e acabamento - pilaretes e vigas cinta no aumento da altura da platibanda do prédio principal</t>
  </si>
  <si>
    <t>2.2.6</t>
  </si>
  <si>
    <t>2.2.7</t>
  </si>
  <si>
    <t>Pintura látex acrílica PREMIUM, aplicação manual em paredes, duas demãos - Todo o interior do imóvel, nos dois pavimentos, escadas e no bloco do arquivo</t>
  </si>
  <si>
    <t>Limpeza de superfície com jato de água de alta pressão -  Paredes e sacada do prédio principal, paredes do bloco do arquivo</t>
  </si>
  <si>
    <t>Aplicação manual de pintura com duas demãos de tinta acrílica SUPER PREMIUM em paredes de edifícios de múltiplos pavimentos com presença de vãos, duas cores (Doric White SW1151 e Silken Web SW1148) -  Paredes e sacada do prédio principal, paredes do bloco do arquivo</t>
  </si>
  <si>
    <t>88489     ADAPTADO</t>
  </si>
  <si>
    <t>Pintura látex acrílica PREMIUM, aplicação manual em teto, duas demãos - Escada</t>
  </si>
  <si>
    <t>Limpeza de superfície com jato de água de alta pressão - Teto e laje da sacada</t>
  </si>
  <si>
    <t>PINTURA DE MUROS, ELEVAÇÕES E MURETAS</t>
  </si>
  <si>
    <t>Limpeza de superfície com jato de água de alta pressão -  Muro e elevações da divisa esquerda, muro da divisa direita), muro do interior do terreno e todas as muretas</t>
  </si>
  <si>
    <t>Aplicação manual de pintura com tinta texturizada acrílica PREMIUM em panos cegos de fachada -  Muro e elevações da divisa esquerda, muro da divisa direita), muro do interior do terreno e todas as muretas</t>
  </si>
  <si>
    <t>ESCADAS MARINHEIRO DE ACESSO ÀS COBERTURAS DO PRÉDIO PRINCIPAL</t>
  </si>
  <si>
    <t>RAMPA DE ACESSO PNE</t>
  </si>
  <si>
    <t>Revolvimento e limpeza manual de solo</t>
  </si>
  <si>
    <t>Limpeza manual de vegetação em terreno com enxada</t>
  </si>
  <si>
    <t>LIMPEZA E PREPARO DO TERRENO</t>
  </si>
  <si>
    <t>REMOÇÃO E REINSTALAÇÃO DO PAVER</t>
  </si>
  <si>
    <t>Pintura de faixa de pedestre ou zebrada com tinta acrílica, e  = 30 cm, aplicação manual</t>
  </si>
  <si>
    <t>Pintura de símbolos e textos com tinta acrílica, demarcação com fita adesiva e aplicação com rolo</t>
  </si>
  <si>
    <t>7.3.2</t>
  </si>
  <si>
    <t>Demolição de piso/contrapiso/paver, sem reaproveitamento</t>
  </si>
  <si>
    <t>Lastro de brita nº 2 - apiloada manualmente com maço até30 kg - camada de 7cm</t>
  </si>
  <si>
    <t>Lastro de concreto, e = 5 cm, preparo mecânico, inclusos lançamento e adensamento</t>
  </si>
  <si>
    <t>Perfil U 127x50 #11 no degrau existente entre o nivel do pavimento de asfalto e o acesso à rampa PNE, fixado na sarjeta</t>
  </si>
  <si>
    <t>7.2.3</t>
  </si>
  <si>
    <t>7.2.4</t>
  </si>
  <si>
    <t>7.2.5</t>
  </si>
  <si>
    <t>Pintura de piso com tinta acrílica PREMIUM, aplicação manual, 2 demãos, incluso fundo preparador - Rampa de acesso PNE</t>
  </si>
  <si>
    <t>7.2.6</t>
  </si>
  <si>
    <t>PLANTIO DE GRAMA</t>
  </si>
  <si>
    <t>Plantio de grama esmeralda em placas - inclusive preparo do substrato</t>
  </si>
  <si>
    <t>Revolvimento manual do solo e adição de terra vegetal</t>
  </si>
  <si>
    <t>Pintura esmalte fosco, duas demãos sobre superfície metálica, incluindo uma demão de fundo anitcorrosivo  aplicado com utilização de revolver de ar-comprimido - Aplicado na estrutura metálica da escada</t>
  </si>
  <si>
    <t>COMPOSIÇÃO      PRÓPRIA</t>
  </si>
  <si>
    <t>COMPOSIÇÃO     PRÓPRIA</t>
  </si>
  <si>
    <t>ESCADA DE ACESSO À COBERTURA DO PAVIMENTO SUPERIOR</t>
  </si>
  <si>
    <t>ESCADA DE ACESSO À COBERTURA DO PAVIMENTO TÉRREO</t>
  </si>
  <si>
    <t>8.1.1</t>
  </si>
  <si>
    <t>8.1.2</t>
  </si>
  <si>
    <t>8.1.3</t>
  </si>
  <si>
    <t>8.1.4</t>
  </si>
  <si>
    <t>Pintura látex acrílica SUPER PREMIUM, aplicação manual em teto, duas demãos - Teto e laje da sacada</t>
  </si>
  <si>
    <t>2.5.5</t>
  </si>
  <si>
    <t>5.2.4</t>
  </si>
  <si>
    <t>5.2.5</t>
  </si>
  <si>
    <t>5.2.6</t>
  </si>
  <si>
    <t>Remoção de forros de forma manual, sem reaproveitamento - Forro interno e externo do arquivo</t>
  </si>
  <si>
    <t>ALVENARIA DE FECHAMENTO</t>
  </si>
  <si>
    <t>FÔRMAS DE PILARETES E VIGAS-CINTA</t>
  </si>
  <si>
    <t>ARMADURAS DE PILARETES E VIGAS-CINTA</t>
  </si>
  <si>
    <t>CONCRETAGEM DE PILARETES E VIGAS-CINTA</t>
  </si>
  <si>
    <t>REVESTIMENTO INTERNO E EXTERNO</t>
  </si>
  <si>
    <t>2.6</t>
  </si>
  <si>
    <t>2.6.1</t>
  </si>
  <si>
    <t>GRAFIATO EXTERNO</t>
  </si>
  <si>
    <t>2.2.8</t>
  </si>
  <si>
    <t>Lixamento manual em superfícies metálicas em obra - Guarda-corpos e corrimãos das escadas, portas pantográficas, grade de proteção da porta dos fundos, grades de todas as janelas</t>
  </si>
  <si>
    <t>Pintura com tinta alquídica de acabamento (esmalte sintético fosco) pulverizada sobre superfícies metálicas, executado em obra (02 demãos) - Guarda-corpos e corrimãos das escadas, portas pantográficas, grade de proteção da porta dos fundos, grades de todas as janelas</t>
  </si>
  <si>
    <t>Escada tipo marinheiro em tubo aco galvanizado 1 1/4" x 3,25mm com proteção em arco (# 1" x 3/16") - Acesso à cobertura do pavimento superior e, entre esta e o nível da telha internamente</t>
  </si>
  <si>
    <t>Escada tipo marinheiro em tubo aco galvanizado 1 1/4" x 3,25mm com proteção em arco (# 1" x 3/16") - Acesso à cobertura do pavimento térreo à partir do pavimento superior, incusive entre o nível da telha do pavimento superior até a altura da platibanda</t>
  </si>
  <si>
    <t>Pintura com tinta alquídica de acabamento (esmalte sintético fosco) pulverizada sobre superfícies metálicas, executado em obra (02 demãos) - Estrutura de fechamento da plataforma elevatória, gradis frontais, gradis da divisa lateral direita, gradil adjacente ao muro central, portões metálicos, estrutura de cobertura da passarela, estrutura de cobertura do estacionamento dos juízes, estrutura metálica dos aparelhos de ar condicionado, mastros de bandeiras, lixeira metálica, guarda-corpos e corrimãos das escadas e rampa externa</t>
  </si>
  <si>
    <t>Lixamento manual em superfícies metálicas em obra - Gradis, portões metálicos, estrutura de cobertura da passarela, estrutura de cobertura do estacionamento dos juízes, estrutura metálica dos aparelhos de ar condicionado, mastros de bandeiras, protetores de holofotes, guarda-corpos e corrimãos das escadas e rampa externa</t>
  </si>
  <si>
    <t>Limpeza de superfície com jato de água de alta pressão -  Estrutura de fechamento da plataforma elevatória, gradis frontais, gradis da divisa lateral direita, gradil adjacente ao muro central, portões metálicos, estrutura de cobertura da passarela, estrutura de cobertura do estacionamento dos juízes, estrutura metálica dos aparelhos de ar condicionado, mastros de bandeiras, protetores de holofotes, lixeira metálica, guarda-corpos e corrimãos das escadas e rampa externa</t>
  </si>
  <si>
    <t>Textura rústica (grafiato), aplicada manualmente em paredes internas/externas - Face externa dos aunemtos nas platibandas</t>
  </si>
  <si>
    <t>Concertina dupla clipada - instalada sobre gradil metálico (lateral direita) e sobre platibanda posterior da cobertura do bloco do arquivo</t>
  </si>
  <si>
    <t>Reassentamento de blocos retangular para piso intertravado, espessura de 8 cm, em via/estacionamento, com reaproveitamento dos blocos retangular - incluso retirada e colocação do material</t>
  </si>
  <si>
    <t>Piso tatil externo - placa cimenticia 25 x 25 podotatil, assentada com argamassa de cimento e areia</t>
  </si>
  <si>
    <t>Cortina de ar 180cm 340W, inclusive alimentação até o quadro elétrico - Fornecimento do equipamento</t>
  </si>
  <si>
    <t>7.3.1</t>
  </si>
  <si>
    <t>3.3.2</t>
  </si>
  <si>
    <t>2.5.4</t>
  </si>
  <si>
    <t>Olhal de ancoragem predial, semicircular,75x97x17mm, em aço inox, com nervuras laterais e parabolt de fixação 1/2" ASTM A325</t>
  </si>
  <si>
    <t>INSTALAÇÃO DE LINHAS DE VIDA</t>
  </si>
  <si>
    <t>LINHAS DE VIDA NO PRÉDIO PRINCIPAL</t>
  </si>
  <si>
    <t>Linha de vida em cabos de aço galvanizado D=1/2" (12,7mm) com alma de aço, inclusas abraçadeiras tipo clips/grampo metálicas e sapatilhos/anilhas</t>
  </si>
  <si>
    <t>2.5.6</t>
  </si>
  <si>
    <t>Revestimento interno de platibanda com chapa de aço galvanizado nº 26, incluso içamento - Revestir toda face interna das platibandas do prédio principal, desde o chapim até a calha, com sobreposição de 5cm sobre as calhas</t>
  </si>
  <si>
    <t>2.1.7</t>
  </si>
  <si>
    <t>ADEQUAÇÕES DE SUSTENTABILIDADE</t>
  </si>
  <si>
    <t xml:space="preserve">SUBSTITUIÇÃO DE LÂMPADAS </t>
  </si>
  <si>
    <t>lâmpada 10W LED bulbo 127V e27 4000 a 6500K, inclui limpeza da luminária</t>
  </si>
  <si>
    <t>cabo 2,5mm² flexível, 750V, isolamento não halogenado</t>
  </si>
  <si>
    <t>refletor 30W LED, bivolt, inclui retirada luminária antiga e remanejamento ponto</t>
  </si>
  <si>
    <t>lâmpada 40W LED, bivolt, inclui retirada sistema vapor metálico e instalação de bocal e27</t>
  </si>
  <si>
    <t>8.1.5</t>
  </si>
  <si>
    <t>lâmpada 18W LED tubular 120cm 4000 a 6500K, inclui adaptação e limpeza da luminária</t>
  </si>
  <si>
    <t>lâmpada 9W LED tubular 60cm 4000 a 6500K, inclui adaptação e limpeza da luminária</t>
  </si>
  <si>
    <t>Trama de aço composta por terças para telhados de até 2 águas para telha metálica termoacústica, inclusos contraventamentos e transporte vertical - Enterçamento e contraventamentos da cobertura do BLOCO DO ARQUIVO</t>
  </si>
  <si>
    <t>92618 COM ADAPTAÇÕES</t>
  </si>
  <si>
    <t>Pintura com tinta alquídica de fundo e acabamento (esmalte sintético grafite) pulverizada sobre perfil metálico executado em fábrica (por demão) - estrutura de cobertura, contraventamentos, terças, tirantes e demais elementos metálicos do PAVIMENTO SUPERIOR</t>
  </si>
  <si>
    <t>Pintura com tinta alquídica de fundo e acabamento (esmalte sintético grafite) pulverizada sobre perfil metálico executado em fábrica (por demão) - estrutura de cobertura, contraventamentos, terças, tirantes e demais elementos metálicos do ARQUIVO</t>
  </si>
  <si>
    <t>92608 COM ADAPTAÇÕES</t>
  </si>
  <si>
    <t>Fabricação e instalação de tesoura inteira em aço, vão de 10,70 m (CONFORME PROJETO), para telha ondulada de fibrocimento, metálica, plástica ou termoacústica, incluso içamento - Estrutura de cobertura do PAVIMENTO SUPERIOR, sendo uma tesoura a cada 4,50m com cantoneiras 50x50 E=3mm nas extremidades</t>
  </si>
  <si>
    <t>92580 COM ADAPTAÇÃO</t>
  </si>
  <si>
    <t>Trama de aço composta por terças para telhados de até 2 águas para telha metálica termoacústica, inclusos contraventamentos e transporte vertical - Enterçamento e contraventamentos da cobertura do PAVIMENTO INFERIOR</t>
  </si>
  <si>
    <t>Pintura com tinta alquídica de fundo e acabamento (esmalte sintético grafite) pulverizada sobre perfil metálico executado em fábrica (por demão) - estrutura de cobertura, contraventamentos, terças, tirantes e demais elementos metálicos do PAVIMENTO INFERIOR</t>
  </si>
  <si>
    <t>2.3.7</t>
  </si>
  <si>
    <t>2.3.8</t>
  </si>
  <si>
    <t>2.3.9</t>
  </si>
  <si>
    <t>Ajuste das tubulações hidráulicas de água fria existentes sobre a laje de cobertura, com corte de tubulação (D=50mm), emenda com luva soldável - Ajustes necessários para instalação das tesouras metálicas na cobertura do segundo pavimento do prédio principal</t>
  </si>
  <si>
    <t>Ajuste das alturas das prumadas pluviais existentes, com aumento das alturas - Ajustes necessários em virtude do aumento das alturas das calhas na cobertura do segundo pavimento do prédio principal</t>
  </si>
  <si>
    <t>2.5.7</t>
  </si>
  <si>
    <t>2.5.8</t>
  </si>
  <si>
    <t>CALHAS, RUFOS E AJUSTES NAS TUBULAÇÕES HIDROSSANITÁRIAS</t>
  </si>
  <si>
    <t>Fabricação e instalação de tesoura inteira em aço, vão de 10,70 m (CONFORME PROJETO), para telha ondulada de fibrocimento, metálica, plástica ou termoacústica, incluso içamento - Estrutura de cobertura do PAVIMENTO INFERIOR, sendo uma tesoura a cada 2,60m com cantoneiras 50x50 E=2,65mm nas extremidades</t>
  </si>
  <si>
    <t>Retirada de SPDA tipo Gaiola de Faraday (prédio principal), com reaproveitamento total das fitas de alumínio e captores</t>
  </si>
  <si>
    <t>Reinstalação do SPDA tipo Gaiola de Faraday (prédio principal), conforme projeto original</t>
  </si>
  <si>
    <t>2.1.8</t>
  </si>
  <si>
    <t>2.4.5</t>
  </si>
  <si>
    <t>2.7</t>
  </si>
  <si>
    <t>INSTALAÇÕES ELÉTRICAS DE ILUMINAÇÃO INTERNA</t>
  </si>
  <si>
    <t>2.7.1</t>
  </si>
  <si>
    <t>2.7.2</t>
  </si>
  <si>
    <t>2.7.3</t>
  </si>
  <si>
    <t>eletroduto rígido roscável 3/4", instalação aparente sob a cobertura, sobre o forro</t>
  </si>
  <si>
    <t>condulete sem tampa 3/4"</t>
  </si>
  <si>
    <t>2.7.4</t>
  </si>
  <si>
    <t>cabo 6,0mm² flexível, 750V, isolamento não halogenado</t>
  </si>
  <si>
    <t>9.1</t>
  </si>
  <si>
    <t>9.1.1</t>
  </si>
  <si>
    <t>9.1.2</t>
  </si>
  <si>
    <t>9.1.3</t>
  </si>
  <si>
    <t>9.1.4</t>
  </si>
  <si>
    <t>9.2</t>
  </si>
  <si>
    <t>9.2.1</t>
  </si>
  <si>
    <t>9.2.2</t>
  </si>
  <si>
    <t>5.2.7</t>
  </si>
  <si>
    <t>ponto elétrico para ar-condicionado 30000 btu</t>
  </si>
  <si>
    <t>pt</t>
  </si>
  <si>
    <t>ponto elétrico para cortina de ar</t>
  </si>
  <si>
    <t>2.6.2</t>
  </si>
  <si>
    <t>96110 ADAPTADO P/ PLACA CIMENTICIA</t>
  </si>
  <si>
    <t>Forro em placa cimentícia lisa, E=6mm, para ambientes comerciais, inclusive estrutura de fixação - Exterior do arquivo</t>
  </si>
  <si>
    <t>Forro em gesso acartonado modular (revestido com película vinílica, tamanho 62,5cm x 62,5cm)  para ambientes comerciais, inclusive estrutura birecional de fixação - Interior do arquivo</t>
  </si>
  <si>
    <t>FORRO DO PRÉDIO DO ARQUIVO</t>
  </si>
  <si>
    <t>INTERNO</t>
  </si>
  <si>
    <t>EXTERNO</t>
  </si>
  <si>
    <t>2.5.9</t>
  </si>
  <si>
    <t>Calha em chapa de aço galvanizado número #26, desenvolvimento de 80 cm, incluso transporte vertical - Seção média de 20cm x 30cm + abas e contra-calha. Todas as calhas do imóvel deverão ser substituídas</t>
  </si>
  <si>
    <t>2.5.10</t>
  </si>
  <si>
    <t>Prumada pluvial em PVC série R, DN=100mm composta de condutores, joelhos 90º, fixados por abraçadeiras metálicas - 4 descidas a partir da calha do arquivo</t>
  </si>
  <si>
    <t>6.2</t>
  </si>
  <si>
    <t>ILUMINAÇÃO DE EMERGÊNCIA</t>
  </si>
  <si>
    <t>6.2.1</t>
  </si>
  <si>
    <t>Bloco de iluminação de emergência 30 leds, 2W, autonomia 6 horas</t>
  </si>
  <si>
    <t>Ponto de dreno em tubo de PVC marrom D=25mm (3/4") - Tubos e conexões desde a evaporadora até piso externo (terraço técnico)</t>
  </si>
  <si>
    <t>5.2.8</t>
  </si>
  <si>
    <t>94229  ADAPTADO</t>
  </si>
  <si>
    <t>88488  ADAPTADO</t>
  </si>
  <si>
    <t>9.3</t>
  </si>
  <si>
    <t>LIMPEZA GERAL DA OBRA</t>
  </si>
  <si>
    <t>Limpeza de piso cerâmico ou porcelanato com vassoura a seco</t>
  </si>
  <si>
    <t>9.3.1</t>
  </si>
  <si>
    <t>5.2.9</t>
  </si>
  <si>
    <t>Furo manual em alvenaria, para instalações hidráulicas / elétricas / frigoríficas, diâmetros maiores que 75 mm e menores ou iguais a 100 mm</t>
  </si>
  <si>
    <t>Fornecimento e instalação de lona plástica pesada preta (E = 150 micra), para proteção das áreas afetadas - Mobiliário, equipamentos, processos, etc</t>
  </si>
  <si>
    <t>2.1.9</t>
  </si>
  <si>
    <t>2.1.10</t>
  </si>
  <si>
    <t>Alvenaria de vedação de blocos cerâmicos furados na horizontal de 9x14x19 cm (espessura 14 cm) e argamassa de assentamento com preparo em betoneira. Elevação da platibanda em todo o perímetro da cobertura do pavimento superior em 90cm</t>
  </si>
  <si>
    <t>Fabricação e instalação de tesoura inteira em aço, vão de 6m, para telha ondulada de fibrocimento, metálica, plástica ou termoacústica, incluso içamento - Estrutura de cobertura do BLOCO DO ARQUIVO, sendo uma tesoura a cada 4,50m com cantoneiras 50x50 E=3mm nas extremidades</t>
  </si>
  <si>
    <t>Calha em chapa de aço galvanizado número #26, desenvolvimento de 80 cm (com dobras enrijecedoras), incluso transporte vertical - Seção média de 20cm x 20cm + abas. Instalação de calha de beiral no arquivo</t>
  </si>
  <si>
    <t>DEMARCAÇÃO DE VAGAS ACESSÍVEIS</t>
  </si>
  <si>
    <t>11.585,39</t>
  </si>
  <si>
    <t>Caçamba para entulho comum - locação - capacidade 5m³</t>
  </si>
  <si>
    <t>MÃO DE OBRA COM BDI  (R$)</t>
  </si>
  <si>
    <t>MATERIAL COM BDI (R$)</t>
  </si>
  <si>
    <t>MATERIAL COM BDI</t>
  </si>
  <si>
    <t>MÃO DE OBRA COM BDI</t>
  </si>
  <si>
    <t>MATERIAL:</t>
  </si>
  <si>
    <t>TOTAL:</t>
  </si>
  <si>
    <t>M.O: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</si>
</sst>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_(&quot;R$ &quot;* #,##0.00_);_(&quot;R$ &quot;* \(#,##0.00\);_(&quot;R$ &quot;* &quot;-&quot;??_);_(@_)"/>
    <numFmt numFmtId="165" formatCode="_(* #,##0.00_);_(* \(#,##0.00\);_(* &quot;-&quot;??_);_(@_)"/>
    <numFmt numFmtId="166" formatCode="#,##0.000000"/>
  </numFmts>
  <fonts count="56" x14ac:knownFonts="1">
    <font>
      <sz val="11"/>
      <color theme="1"/>
      <name val="Calibri"/>
      <family val="2"/>
      <scheme val="minor"/>
    </font>
    <font>
      <sz val="11"/>
      <color indexed="8"/>
      <name val="Calibri"/>
      <family val="2"/>
    </font>
    <font>
      <sz val="11"/>
      <color indexed="8"/>
      <name val="Calibri"/>
      <family val="2"/>
    </font>
    <font>
      <b/>
      <sz val="11"/>
      <color indexed="8"/>
      <name val="Calibri"/>
      <family val="2"/>
    </font>
    <font>
      <sz val="10"/>
      <name val="Arial"/>
      <family val="2"/>
    </font>
    <font>
      <sz val="11"/>
      <color indexed="9"/>
      <name val="Calibri"/>
      <family val="2"/>
    </font>
    <font>
      <sz val="11"/>
      <color indexed="17"/>
      <name val="Calibri"/>
      <family val="2"/>
    </font>
    <font>
      <b/>
      <sz val="11"/>
      <color indexed="52"/>
      <name val="Calibri"/>
      <family val="2"/>
    </font>
    <font>
      <b/>
      <sz val="11"/>
      <color indexed="9"/>
      <name val="Calibri"/>
      <family val="2"/>
    </font>
    <font>
      <sz val="11"/>
      <color indexed="52"/>
      <name val="Calibri"/>
      <family val="2"/>
    </font>
    <font>
      <sz val="11"/>
      <color indexed="62"/>
      <name val="Calibri"/>
      <family val="2"/>
    </font>
    <font>
      <sz val="11"/>
      <color indexed="20"/>
      <name val="Calibri"/>
      <family val="2"/>
    </font>
    <font>
      <sz val="11"/>
      <color indexed="60"/>
      <name val="Calibri"/>
      <family val="2"/>
    </font>
    <font>
      <b/>
      <sz val="11"/>
      <color indexed="63"/>
      <name val="Calibri"/>
      <family val="2"/>
    </font>
    <font>
      <sz val="11"/>
      <color indexed="10"/>
      <name val="Calibri"/>
      <family val="2"/>
    </font>
    <font>
      <i/>
      <sz val="11"/>
      <color indexed="23"/>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0"/>
      <name val="Arial"/>
      <family val="2"/>
    </font>
    <font>
      <b/>
      <sz val="11"/>
      <color indexed="10"/>
      <name val="Calibri"/>
      <family val="2"/>
    </font>
    <font>
      <sz val="11"/>
      <color indexed="19"/>
      <name val="Calibri"/>
      <family val="2"/>
    </font>
    <font>
      <b/>
      <sz val="18"/>
      <color indexed="62"/>
      <name val="Cambria"/>
      <family val="2"/>
    </font>
    <font>
      <b/>
      <sz val="15"/>
      <color indexed="62"/>
      <name val="Calibri"/>
      <family val="2"/>
    </font>
    <font>
      <b/>
      <sz val="13"/>
      <color indexed="62"/>
      <name val="Calibri"/>
      <family val="2"/>
    </font>
    <font>
      <b/>
      <sz val="11"/>
      <color indexed="62"/>
      <name val="Calibri"/>
      <family val="2"/>
    </font>
    <font>
      <sz val="10"/>
      <name val="Arial"/>
      <family val="2"/>
    </font>
    <font>
      <sz val="11"/>
      <color theme="1"/>
      <name val="Calibri"/>
      <family val="2"/>
      <scheme val="minor"/>
    </font>
    <font>
      <sz val="11"/>
      <color theme="0"/>
      <name val="Calibri"/>
      <family val="2"/>
      <scheme val="minor"/>
    </font>
    <font>
      <sz val="11"/>
      <color rgb="FF006100"/>
      <name val="Calibri"/>
      <family val="2"/>
      <scheme val="minor"/>
    </font>
    <font>
      <b/>
      <sz val="11"/>
      <color rgb="FFFA7D00"/>
      <name val="Calibri"/>
      <family val="2"/>
      <scheme val="minor"/>
    </font>
    <font>
      <b/>
      <sz val="11"/>
      <color theme="0"/>
      <name val="Calibri"/>
      <family val="2"/>
      <scheme val="minor"/>
    </font>
    <font>
      <sz val="11"/>
      <color rgb="FFFA7D00"/>
      <name val="Calibri"/>
      <family val="2"/>
      <scheme val="minor"/>
    </font>
    <font>
      <sz val="11"/>
      <color rgb="FF000000"/>
      <name val="Calibri"/>
      <family val="2"/>
    </font>
    <font>
      <sz val="11"/>
      <color rgb="FF3F3F76"/>
      <name val="Calibri"/>
      <family val="2"/>
      <scheme val="minor"/>
    </font>
    <font>
      <b/>
      <sz val="11"/>
      <color rgb="FF3F3F3F"/>
      <name val="Calibri"/>
      <family val="2"/>
      <scheme val="minor"/>
    </font>
    <font>
      <sz val="11"/>
      <color rgb="FFFF0000"/>
      <name val="Calibri"/>
      <family val="2"/>
      <scheme val="minor"/>
    </font>
    <font>
      <i/>
      <sz val="11"/>
      <color rgb="FF7F7F7F"/>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b/>
      <sz val="11"/>
      <color theme="1"/>
      <name val="Calibri"/>
      <family val="2"/>
      <scheme val="minor"/>
    </font>
    <font>
      <sz val="10"/>
      <color theme="1"/>
      <name val="Arial"/>
      <family val="2"/>
    </font>
    <font>
      <b/>
      <sz val="10"/>
      <color theme="1"/>
      <name val="Arial"/>
      <family val="2"/>
    </font>
    <font>
      <sz val="9"/>
      <color theme="1"/>
      <name val="Arial"/>
      <family val="2"/>
    </font>
    <font>
      <b/>
      <sz val="12"/>
      <color theme="1"/>
      <name val="Arial"/>
      <family val="2"/>
    </font>
    <font>
      <b/>
      <sz val="14"/>
      <color theme="1"/>
      <name val="Arial"/>
      <family val="2"/>
    </font>
    <font>
      <b/>
      <sz val="9"/>
      <color theme="1"/>
      <name val="Arial"/>
      <family val="2"/>
    </font>
    <font>
      <sz val="9"/>
      <name val="Arial"/>
      <family val="2"/>
    </font>
    <font>
      <b/>
      <sz val="10"/>
      <name val="Arial"/>
      <family val="2"/>
    </font>
    <font>
      <b/>
      <sz val="9"/>
      <name val="Arial"/>
      <family val="2"/>
    </font>
    <font>
      <b/>
      <sz val="16"/>
      <color theme="1"/>
      <name val="Arial"/>
      <family val="2"/>
    </font>
    <font>
      <sz val="10"/>
      <name val="Symbol"/>
      <family val="1"/>
      <charset val="2"/>
    </font>
    <font>
      <b/>
      <sz val="14"/>
      <color rgb="FFFF0000"/>
      <name val="Arial"/>
      <family val="2"/>
    </font>
  </fonts>
  <fills count="6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22"/>
      </patternFill>
    </fill>
    <fill>
      <patternFill patternType="solid">
        <fgColor indexed="9"/>
      </patternFill>
    </fill>
    <fill>
      <patternFill patternType="solid">
        <fgColor indexed="55"/>
      </patternFill>
    </fill>
    <fill>
      <patternFill patternType="solid">
        <fgColor indexed="56"/>
      </patternFill>
    </fill>
    <fill>
      <patternFill patternType="solid">
        <fgColor indexed="54"/>
      </patternFill>
    </fill>
    <fill>
      <patternFill patternType="solid">
        <fgColor indexed="9"/>
        <bgColor indexed="64"/>
      </patternFill>
    </fill>
    <fill>
      <patternFill patternType="solid">
        <fgColor indexed="47"/>
        <bgColor indexed="8"/>
      </patternFill>
    </fill>
    <fill>
      <patternFill patternType="solid">
        <fgColor indexed="26"/>
        <bgColor indexed="64"/>
      </patternFill>
    </fill>
    <fill>
      <patternFill patternType="solid">
        <fgColor indexed="22"/>
        <bgColor indexed="64"/>
      </patternFill>
    </fill>
    <fill>
      <patternFill patternType="solid">
        <fgColor indexed="47"/>
        <bgColor indexed="64"/>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8" tint="0.39997558519241921"/>
        <bgColor indexed="65"/>
      </patternFill>
    </fill>
    <fill>
      <patternFill patternType="solid">
        <fgColor rgb="FFC6EFCE"/>
      </patternFill>
    </fill>
    <fill>
      <patternFill patternType="solid">
        <fgColor rgb="FFF2F2F2"/>
      </patternFill>
    </fill>
    <fill>
      <patternFill patternType="solid">
        <fgColor rgb="FFA5A5A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C99"/>
      </patternFill>
    </fill>
    <fill>
      <patternFill patternType="solid">
        <fgColor rgb="FFFFFFCC"/>
      </patternFill>
    </fill>
    <fill>
      <patternFill patternType="solid">
        <fgColor theme="0"/>
        <bgColor indexed="64"/>
      </patternFill>
    </fill>
    <fill>
      <patternFill patternType="solid">
        <fgColor theme="0" tint="-0.249977111117893"/>
        <bgColor indexed="64"/>
      </patternFill>
    </fill>
    <fill>
      <patternFill patternType="solid">
        <fgColor rgb="FFBFBFBF"/>
        <bgColor rgb="FFBFBFBF"/>
      </patternFill>
    </fill>
    <fill>
      <patternFill patternType="solid">
        <fgColor rgb="FFFFC000"/>
        <bgColor indexed="64"/>
      </patternFill>
    </fill>
    <fill>
      <patternFill patternType="solid">
        <fgColor rgb="FF00B0F0"/>
        <bgColor indexed="64"/>
      </patternFill>
    </fill>
    <fill>
      <patternFill patternType="solid">
        <fgColor rgb="FF00B0F0"/>
        <bgColor indexed="8"/>
      </patternFill>
    </fill>
    <fill>
      <patternFill patternType="solid">
        <fgColor rgb="FF00B0F0"/>
        <bgColor rgb="FFBFBFBF"/>
      </patternFill>
    </fill>
  </fills>
  <borders count="4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double">
        <color indexed="10"/>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style="hair">
        <color indexed="64"/>
      </left>
      <right/>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medium">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s>
  <cellStyleXfs count="147">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28" fillId="2" borderId="0" applyNumberFormat="0" applyBorder="0" applyAlignment="0" applyProtection="0"/>
    <xf numFmtId="0" fontId="1" fillId="8" borderId="0" applyNumberFormat="0" applyBorder="0" applyAlignment="0" applyProtection="0"/>
    <xf numFmtId="0" fontId="28" fillId="3" borderId="0" applyNumberFormat="0" applyBorder="0" applyAlignment="0" applyProtection="0"/>
    <xf numFmtId="0" fontId="1" fillId="9" borderId="0" applyNumberFormat="0" applyBorder="0" applyAlignment="0" applyProtection="0"/>
    <xf numFmtId="0" fontId="28" fillId="4" borderId="0" applyNumberFormat="0" applyBorder="0" applyAlignment="0" applyProtection="0"/>
    <xf numFmtId="0" fontId="1" fillId="10" borderId="0" applyNumberFormat="0" applyBorder="0" applyAlignment="0" applyProtection="0"/>
    <xf numFmtId="0" fontId="28" fillId="5" borderId="0" applyNumberFormat="0" applyBorder="0" applyAlignment="0" applyProtection="0"/>
    <xf numFmtId="0" fontId="1" fillId="7" borderId="0" applyNumberFormat="0" applyBorder="0" applyAlignment="0" applyProtection="0"/>
    <xf numFmtId="0" fontId="28" fillId="32" borderId="0" applyNumberFormat="0" applyBorder="0" applyAlignment="0" applyProtection="0"/>
    <xf numFmtId="0" fontId="1" fillId="6" borderId="0" applyNumberFormat="0" applyBorder="0" applyAlignment="0" applyProtection="0"/>
    <xf numFmtId="0" fontId="28" fillId="33" borderId="0" applyNumberFormat="0" applyBorder="0" applyAlignment="0" applyProtection="0"/>
    <xf numFmtId="0" fontId="1" fillId="10"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1"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12" borderId="0" applyNumberFormat="0" applyBorder="0" applyAlignment="0" applyProtection="0"/>
    <xf numFmtId="0" fontId="28" fillId="34" borderId="0" applyNumberFormat="0" applyBorder="0" applyAlignment="0" applyProtection="0"/>
    <xf numFmtId="0" fontId="1" fillId="6" borderId="0" applyNumberFormat="0" applyBorder="0" applyAlignment="0" applyProtection="0"/>
    <xf numFmtId="0" fontId="28" fillId="35" borderId="0" applyNumberFormat="0" applyBorder="0" applyAlignment="0" applyProtection="0"/>
    <xf numFmtId="0" fontId="1" fillId="9" borderId="0" applyNumberFormat="0" applyBorder="0" applyAlignment="0" applyProtection="0"/>
    <xf numFmtId="0" fontId="28" fillId="11" borderId="0" applyNumberFormat="0" applyBorder="0" applyAlignment="0" applyProtection="0"/>
    <xf numFmtId="0" fontId="1" fillId="13" borderId="0" applyNumberFormat="0" applyBorder="0" applyAlignment="0" applyProtection="0"/>
    <xf numFmtId="0" fontId="28" fillId="36" borderId="0" applyNumberFormat="0" applyBorder="0" applyAlignment="0" applyProtection="0"/>
    <xf numFmtId="0" fontId="1" fillId="3" borderId="0" applyNumberFormat="0" applyBorder="0" applyAlignment="0" applyProtection="0"/>
    <xf numFmtId="0" fontId="28" fillId="37" borderId="0" applyNumberFormat="0" applyBorder="0" applyAlignment="0" applyProtection="0"/>
    <xf numFmtId="0" fontId="1" fillId="6" borderId="0" applyNumberFormat="0" applyBorder="0" applyAlignment="0" applyProtection="0"/>
    <xf numFmtId="0" fontId="28" fillId="38" borderId="0" applyNumberFormat="0" applyBorder="0" applyAlignment="0" applyProtection="0"/>
    <xf numFmtId="0" fontId="1" fillId="10" borderId="0" applyNumberFormat="0" applyBorder="0" applyAlignment="0" applyProtection="0"/>
    <xf numFmtId="0" fontId="5" fillId="14" borderId="0" applyNumberFormat="0" applyBorder="0" applyAlignment="0" applyProtection="0"/>
    <xf numFmtId="0" fontId="5" fillId="9" borderId="0" applyNumberFormat="0" applyBorder="0" applyAlignment="0" applyProtection="0"/>
    <xf numFmtId="0" fontId="5" fillId="11"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29" fillId="39" borderId="0" applyNumberFormat="0" applyBorder="0" applyAlignment="0" applyProtection="0"/>
    <xf numFmtId="0" fontId="5" fillId="6" borderId="0" applyNumberFormat="0" applyBorder="0" applyAlignment="0" applyProtection="0"/>
    <xf numFmtId="0" fontId="29" fillId="40" borderId="0" applyNumberFormat="0" applyBorder="0" applyAlignment="0" applyProtection="0"/>
    <xf numFmtId="0" fontId="5" fillId="18" borderId="0" applyNumberFormat="0" applyBorder="0" applyAlignment="0" applyProtection="0"/>
    <xf numFmtId="0" fontId="29" fillId="11" borderId="0" applyNumberFormat="0" applyBorder="0" applyAlignment="0" applyProtection="0"/>
    <xf numFmtId="0" fontId="5" fillId="12" borderId="0" applyNumberFormat="0" applyBorder="0" applyAlignment="0" applyProtection="0"/>
    <xf numFmtId="0" fontId="29" fillId="15" borderId="0" applyNumberFormat="0" applyBorder="0" applyAlignment="0" applyProtection="0"/>
    <xf numFmtId="0" fontId="5" fillId="3" borderId="0" applyNumberFormat="0" applyBorder="0" applyAlignment="0" applyProtection="0"/>
    <xf numFmtId="0" fontId="29" fillId="41" borderId="0" applyNumberFormat="0" applyBorder="0" applyAlignment="0" applyProtection="0"/>
    <xf numFmtId="0" fontId="5" fillId="6" borderId="0" applyNumberFormat="0" applyBorder="0" applyAlignment="0" applyProtection="0"/>
    <xf numFmtId="0" fontId="29" fillId="17" borderId="0" applyNumberFormat="0" applyBorder="0" applyAlignment="0" applyProtection="0"/>
    <xf numFmtId="0" fontId="5" fillId="9" borderId="0" applyNumberFormat="0" applyBorder="0" applyAlignment="0" applyProtection="0"/>
    <xf numFmtId="0" fontId="5" fillId="19" borderId="0" applyNumberFormat="0" applyBorder="0" applyAlignment="0" applyProtection="0"/>
    <xf numFmtId="0" fontId="5" fillId="20" borderId="0" applyNumberFormat="0" applyBorder="0" applyAlignment="0" applyProtection="0"/>
    <xf numFmtId="0" fontId="5" fillId="21"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8" borderId="0" applyNumberFormat="0" applyBorder="0" applyAlignment="0" applyProtection="0"/>
    <xf numFmtId="0" fontId="11" fillId="3" borderId="0" applyNumberFormat="0" applyBorder="0" applyAlignment="0" applyProtection="0"/>
    <xf numFmtId="0" fontId="30" fillId="42" borderId="0" applyNumberFormat="0" applyBorder="0" applyAlignment="0" applyProtection="0"/>
    <xf numFmtId="0" fontId="6" fillId="6" borderId="0" applyNumberFormat="0" applyBorder="0" applyAlignment="0" applyProtection="0"/>
    <xf numFmtId="0" fontId="7" fillId="22" borderId="1" applyNumberFormat="0" applyAlignment="0" applyProtection="0"/>
    <xf numFmtId="0" fontId="31" fillId="43" borderId="40" applyNumberFormat="0" applyAlignment="0" applyProtection="0"/>
    <xf numFmtId="0" fontId="21" fillId="23" borderId="1" applyNumberFormat="0" applyAlignment="0" applyProtection="0"/>
    <xf numFmtId="0" fontId="32" fillId="44" borderId="41" applyNumberFormat="0" applyAlignment="0" applyProtection="0"/>
    <xf numFmtId="0" fontId="8" fillId="24" borderId="2" applyNumberFormat="0" applyAlignment="0" applyProtection="0"/>
    <xf numFmtId="0" fontId="33" fillId="0" borderId="42" applyNumberFormat="0" applyFill="0" applyAlignment="0" applyProtection="0"/>
    <xf numFmtId="0" fontId="14" fillId="0" borderId="4" applyNumberFormat="0" applyFill="0" applyAlignment="0" applyProtection="0"/>
    <xf numFmtId="0" fontId="8" fillId="24" borderId="2" applyNumberFormat="0" applyAlignment="0" applyProtection="0"/>
    <xf numFmtId="0" fontId="29" fillId="45" borderId="0" applyNumberFormat="0" applyBorder="0" applyAlignment="0" applyProtection="0"/>
    <xf numFmtId="0" fontId="5" fillId="25" borderId="0" applyNumberFormat="0" applyBorder="0" applyAlignment="0" applyProtection="0"/>
    <xf numFmtId="0" fontId="29" fillId="46" borderId="0" applyNumberFormat="0" applyBorder="0" applyAlignment="0" applyProtection="0"/>
    <xf numFmtId="0" fontId="5" fillId="18" borderId="0" applyNumberFormat="0" applyBorder="0" applyAlignment="0" applyProtection="0"/>
    <xf numFmtId="0" fontId="29" fillId="47" borderId="0" applyNumberFormat="0" applyBorder="0" applyAlignment="0" applyProtection="0"/>
    <xf numFmtId="0" fontId="5" fillId="12" borderId="0" applyNumberFormat="0" applyBorder="0" applyAlignment="0" applyProtection="0"/>
    <xf numFmtId="0" fontId="29" fillId="48" borderId="0" applyNumberFormat="0" applyBorder="0" applyAlignment="0" applyProtection="0"/>
    <xf numFmtId="0" fontId="5" fillId="26" borderId="0" applyNumberFormat="0" applyBorder="0" applyAlignment="0" applyProtection="0"/>
    <xf numFmtId="0" fontId="29" fillId="49" borderId="0" applyNumberFormat="0" applyBorder="0" applyAlignment="0" applyProtection="0"/>
    <xf numFmtId="0" fontId="5" fillId="16" borderId="0" applyNumberFormat="0" applyBorder="0" applyAlignment="0" applyProtection="0"/>
    <xf numFmtId="0" fontId="29" fillId="50" borderId="0" applyNumberFormat="0" applyBorder="0" applyAlignment="0" applyProtection="0"/>
    <xf numFmtId="0" fontId="5" fillId="20" borderId="0" applyNumberFormat="0" applyBorder="0" applyAlignment="0" applyProtection="0"/>
    <xf numFmtId="0" fontId="34" fillId="0" borderId="0"/>
    <xf numFmtId="0" fontId="35" fillId="51" borderId="40" applyNumberFormat="0" applyAlignment="0" applyProtection="0"/>
    <xf numFmtId="0" fontId="10" fillId="13" borderId="1" applyNumberFormat="0" applyAlignment="0" applyProtection="0"/>
    <xf numFmtId="0" fontId="15" fillId="0" borderId="0" applyNumberFormat="0" applyFill="0" applyBorder="0" applyAlignment="0" applyProtection="0"/>
    <xf numFmtId="0" fontId="6" fillId="4" borderId="0" applyNumberFormat="0" applyBorder="0" applyAlignment="0" applyProtection="0"/>
    <xf numFmtId="0" fontId="17" fillId="0" borderId="5" applyNumberFormat="0" applyFill="0" applyAlignment="0" applyProtection="0"/>
    <xf numFmtId="0" fontId="18" fillId="0" borderId="6" applyNumberFormat="0" applyFill="0" applyAlignment="0" applyProtection="0"/>
    <xf numFmtId="0" fontId="19" fillId="0" borderId="7" applyNumberFormat="0" applyFill="0" applyAlignment="0" applyProtection="0"/>
    <xf numFmtId="0" fontId="19" fillId="0" borderId="0" applyNumberFormat="0" applyFill="0" applyBorder="0" applyAlignment="0" applyProtection="0"/>
    <xf numFmtId="0" fontId="11" fillId="5" borderId="0" applyNumberFormat="0" applyBorder="0" applyAlignment="0" applyProtection="0"/>
    <xf numFmtId="0" fontId="10" fillId="7" borderId="1" applyNumberFormat="0" applyAlignment="0" applyProtection="0"/>
    <xf numFmtId="0" fontId="9" fillId="0" borderId="3" applyNumberFormat="0" applyFill="0" applyAlignment="0" applyProtection="0"/>
    <xf numFmtId="164" fontId="1" fillId="0" borderId="0" applyFont="0" applyFill="0" applyBorder="0" applyAlignment="0" applyProtection="0"/>
    <xf numFmtId="164" fontId="1" fillId="0" borderId="0" applyFont="0" applyFill="0" applyBorder="0" applyAlignment="0" applyProtection="0"/>
    <xf numFmtId="0" fontId="22" fillId="13" borderId="0" applyNumberFormat="0" applyBorder="0" applyAlignment="0" applyProtection="0"/>
    <xf numFmtId="0" fontId="12" fillId="13" borderId="0" applyNumberFormat="0" applyBorder="0" applyAlignment="0" applyProtection="0"/>
    <xf numFmtId="0" fontId="20" fillId="0" borderId="0"/>
    <xf numFmtId="0" fontId="4" fillId="0" borderId="0"/>
    <xf numFmtId="0" fontId="27" fillId="0" borderId="0"/>
    <xf numFmtId="0" fontId="4" fillId="0" borderId="0"/>
    <xf numFmtId="0" fontId="4" fillId="0" borderId="0"/>
    <xf numFmtId="0" fontId="34" fillId="0" borderId="0"/>
    <xf numFmtId="0" fontId="34" fillId="0" borderId="0"/>
    <xf numFmtId="0" fontId="34" fillId="0" borderId="0"/>
    <xf numFmtId="0" fontId="4" fillId="0" borderId="0"/>
    <xf numFmtId="0" fontId="28" fillId="0" borderId="0"/>
    <xf numFmtId="0" fontId="28" fillId="0" borderId="0"/>
    <xf numFmtId="0" fontId="2" fillId="52" borderId="43" applyNumberFormat="0" applyFont="0" applyAlignment="0" applyProtection="0"/>
    <xf numFmtId="0" fontId="20" fillId="10" borderId="8" applyNumberFormat="0" applyFont="0" applyAlignment="0" applyProtection="0"/>
    <xf numFmtId="0" fontId="4" fillId="10" borderId="8" applyNumberFormat="0" applyFont="0" applyAlignment="0" applyProtection="0"/>
    <xf numFmtId="0" fontId="27" fillId="10" borderId="8" applyNumberFormat="0" applyFont="0" applyAlignment="0" applyProtection="0"/>
    <xf numFmtId="0" fontId="4" fillId="10" borderId="8" applyNumberFormat="0" applyFont="0" applyAlignment="0" applyProtection="0"/>
    <xf numFmtId="0" fontId="4" fillId="10" borderId="8" applyNumberFormat="0" applyFont="0" applyAlignment="0" applyProtection="0"/>
    <xf numFmtId="0" fontId="4" fillId="10" borderId="8" applyNumberFormat="0" applyFont="0" applyAlignment="0" applyProtection="0"/>
    <xf numFmtId="0" fontId="1" fillId="52" borderId="43" applyNumberFormat="0" applyFont="0" applyAlignment="0" applyProtection="0"/>
    <xf numFmtId="0" fontId="1" fillId="52" borderId="43" applyNumberFormat="0" applyFont="0" applyAlignment="0" applyProtection="0"/>
    <xf numFmtId="0" fontId="1" fillId="10" borderId="8" applyNumberFormat="0" applyFont="0" applyAlignment="0" applyProtection="0"/>
    <xf numFmtId="0" fontId="13" fillId="22" borderId="9" applyNumberFormat="0" applyAlignment="0" applyProtection="0"/>
    <xf numFmtId="9" fontId="1" fillId="0" borderId="0" applyFont="0" applyFill="0" applyBorder="0" applyAlignment="0" applyProtection="0"/>
    <xf numFmtId="9" fontId="1" fillId="0" borderId="0" applyFont="0" applyFill="0" applyBorder="0" applyAlignment="0" applyProtection="0"/>
    <xf numFmtId="0" fontId="36" fillId="43" borderId="44" applyNumberFormat="0" applyAlignment="0" applyProtection="0"/>
    <xf numFmtId="0" fontId="13" fillId="23" borderId="9" applyNumberFormat="0" applyAlignment="0" applyProtection="0"/>
    <xf numFmtId="0" fontId="37" fillId="0" borderId="0" applyNumberFormat="0" applyFill="0" applyBorder="0" applyAlignment="0" applyProtection="0"/>
    <xf numFmtId="0" fontId="14" fillId="0" borderId="0" applyNumberFormat="0" applyFill="0" applyBorder="0" applyAlignment="0" applyProtection="0"/>
    <xf numFmtId="0" fontId="38"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39" fillId="0" borderId="0" applyNumberFormat="0" applyFill="0" applyBorder="0" applyAlignment="0" applyProtection="0"/>
    <xf numFmtId="0" fontId="40" fillId="0" borderId="45" applyNumberFormat="0" applyFill="0" applyAlignment="0" applyProtection="0"/>
    <xf numFmtId="0" fontId="24" fillId="0" borderId="10" applyNumberFormat="0" applyFill="0" applyAlignment="0" applyProtection="0"/>
    <xf numFmtId="0" fontId="41" fillId="0" borderId="46" applyNumberFormat="0" applyFill="0" applyAlignment="0" applyProtection="0"/>
    <xf numFmtId="0" fontId="25" fillId="0" borderId="11" applyNumberFormat="0" applyFill="0" applyAlignment="0" applyProtection="0"/>
    <xf numFmtId="0" fontId="42" fillId="0" borderId="47" applyNumberFormat="0" applyFill="0" applyAlignment="0" applyProtection="0"/>
    <xf numFmtId="0" fontId="26" fillId="0" borderId="12" applyNumberFormat="0" applyFill="0" applyAlignment="0" applyProtection="0"/>
    <xf numFmtId="0" fontId="42" fillId="0" borderId="0" applyNumberFormat="0" applyFill="0" applyBorder="0" applyAlignment="0" applyProtection="0"/>
    <xf numFmtId="0" fontId="26" fillId="0" borderId="0" applyNumberFormat="0" applyFill="0" applyBorder="0" applyAlignment="0" applyProtection="0"/>
    <xf numFmtId="0" fontId="23" fillId="0" borderId="0" applyNumberFormat="0" applyFill="0" applyBorder="0" applyAlignment="0" applyProtection="0"/>
    <xf numFmtId="0" fontId="43" fillId="0" borderId="48" applyNumberFormat="0" applyFill="0" applyAlignment="0" applyProtection="0"/>
    <xf numFmtId="0" fontId="3" fillId="0" borderId="13" applyNumberFormat="0" applyFill="0" applyAlignment="0" applyProtection="0"/>
    <xf numFmtId="165" fontId="2" fillId="0" borderId="0" applyFont="0" applyFill="0" applyBorder="0" applyAlignment="0" applyProtection="0"/>
    <xf numFmtId="165" fontId="1" fillId="0" borderId="0" applyFont="0" applyFill="0" applyBorder="0" applyAlignment="0" applyProtection="0"/>
    <xf numFmtId="43" fontId="28" fillId="0" borderId="0" applyFont="0" applyFill="0" applyBorder="0" applyAlignment="0" applyProtection="0"/>
    <xf numFmtId="0" fontId="14" fillId="0" borderId="0" applyNumberFormat="0" applyFill="0" applyBorder="0" applyAlignment="0" applyProtection="0"/>
  </cellStyleXfs>
  <cellXfs count="171">
    <xf numFmtId="0" fontId="0" fillId="0" borderId="0" xfId="0"/>
    <xf numFmtId="0" fontId="45" fillId="27" borderId="0" xfId="0" applyFont="1" applyFill="1" applyAlignment="1">
      <alignment horizontal="center" vertical="center" wrapText="1"/>
    </xf>
    <xf numFmtId="10" fontId="44" fillId="53" borderId="0" xfId="0" applyNumberFormat="1" applyFont="1" applyFill="1" applyAlignment="1">
      <alignment horizontal="left" vertical="center" wrapText="1"/>
    </xf>
    <xf numFmtId="10" fontId="44" fillId="27" borderId="15" xfId="0" applyNumberFormat="1" applyFont="1" applyFill="1" applyBorder="1" applyAlignment="1">
      <alignment horizontal="left" vertical="center" wrapText="1"/>
    </xf>
    <xf numFmtId="0" fontId="45" fillId="27" borderId="16" xfId="0" applyFont="1" applyFill="1" applyBorder="1" applyAlignment="1">
      <alignment horizontal="center" vertical="center" wrapText="1"/>
    </xf>
    <xf numFmtId="4" fontId="44" fillId="0" borderId="0" xfId="0" applyNumberFormat="1" applyFont="1" applyAlignment="1">
      <alignment horizontal="left" vertical="center"/>
    </xf>
    <xf numFmtId="0" fontId="44" fillId="0" borderId="0" xfId="0" applyFont="1" applyAlignment="1">
      <alignment vertical="center"/>
    </xf>
    <xf numFmtId="0" fontId="44" fillId="27" borderId="0" xfId="0" applyFont="1" applyFill="1" applyAlignment="1">
      <alignment vertical="center"/>
    </xf>
    <xf numFmtId="0" fontId="44" fillId="27" borderId="0" xfId="0" applyFont="1" applyFill="1" applyAlignment="1">
      <alignment horizontal="left" vertical="center"/>
    </xf>
    <xf numFmtId="0" fontId="44" fillId="27" borderId="0" xfId="0" applyFont="1" applyFill="1" applyAlignment="1">
      <alignment horizontal="right" vertical="center" wrapText="1"/>
    </xf>
    <xf numFmtId="166" fontId="44" fillId="27" borderId="0" xfId="0" applyNumberFormat="1" applyFont="1" applyFill="1" applyAlignment="1">
      <alignment horizontal="right" vertical="center" wrapText="1"/>
    </xf>
    <xf numFmtId="4" fontId="44" fillId="27" borderId="0" xfId="0" applyNumberFormat="1" applyFont="1" applyFill="1" applyAlignment="1">
      <alignment vertical="center"/>
    </xf>
    <xf numFmtId="0" fontId="45" fillId="27" borderId="0" xfId="0" applyFont="1" applyFill="1" applyAlignment="1">
      <alignment horizontal="right" vertical="center"/>
    </xf>
    <xf numFmtId="17" fontId="44" fillId="27" borderId="0" xfId="0" applyNumberFormat="1" applyFont="1" applyFill="1" applyAlignment="1">
      <alignment horizontal="left" vertical="center"/>
    </xf>
    <xf numFmtId="43" fontId="44" fillId="27" borderId="0" xfId="0" applyNumberFormat="1" applyFont="1" applyFill="1" applyAlignment="1">
      <alignment horizontal="right" vertical="center" wrapText="1"/>
    </xf>
    <xf numFmtId="4" fontId="44" fillId="27" borderId="16" xfId="0" applyNumberFormat="1" applyFont="1" applyFill="1" applyBorder="1" applyAlignment="1">
      <alignment horizontal="left" vertical="center"/>
    </xf>
    <xf numFmtId="4" fontId="44" fillId="27" borderId="16" xfId="0" applyNumberFormat="1" applyFont="1" applyFill="1" applyBorder="1" applyAlignment="1">
      <alignment vertical="center"/>
    </xf>
    <xf numFmtId="0" fontId="44" fillId="27" borderId="16" xfId="0" applyFont="1" applyFill="1" applyBorder="1" applyAlignment="1">
      <alignment vertical="center"/>
    </xf>
    <xf numFmtId="0" fontId="45" fillId="27" borderId="16" xfId="0" applyFont="1" applyFill="1" applyBorder="1" applyAlignment="1">
      <alignment horizontal="right" vertical="center"/>
    </xf>
    <xf numFmtId="17" fontId="44" fillId="27" borderId="16" xfId="0" applyNumberFormat="1" applyFont="1" applyFill="1" applyBorder="1" applyAlignment="1">
      <alignment horizontal="left" vertical="center"/>
    </xf>
    <xf numFmtId="49" fontId="44" fillId="0" borderId="0" xfId="0" applyNumberFormat="1" applyFont="1" applyAlignment="1">
      <alignment horizontal="center" vertical="center" wrapText="1"/>
    </xf>
    <xf numFmtId="0" fontId="44" fillId="0" borderId="0" xfId="0" applyFont="1" applyAlignment="1">
      <alignment vertical="center" wrapText="1"/>
    </xf>
    <xf numFmtId="4" fontId="44" fillId="0" borderId="0" xfId="0" applyNumberFormat="1" applyFont="1" applyAlignment="1">
      <alignment vertical="center"/>
    </xf>
    <xf numFmtId="0" fontId="45" fillId="0" borderId="0" xfId="0" applyFont="1" applyAlignment="1">
      <alignment horizontal="right" vertical="center"/>
    </xf>
    <xf numFmtId="0" fontId="44" fillId="27" borderId="0" xfId="0" applyFont="1" applyFill="1" applyAlignment="1">
      <alignment vertical="center" wrapText="1"/>
    </xf>
    <xf numFmtId="49" fontId="45" fillId="0" borderId="0" xfId="0" applyNumberFormat="1" applyFont="1" applyAlignment="1">
      <alignment horizontal="center" vertical="center" wrapText="1"/>
    </xf>
    <xf numFmtId="165" fontId="44" fillId="27" borderId="0" xfId="143" applyFont="1" applyFill="1" applyBorder="1" applyAlignment="1">
      <alignment vertical="center" wrapText="1"/>
    </xf>
    <xf numFmtId="0" fontId="44" fillId="27" borderId="14" xfId="0" applyFont="1" applyFill="1" applyBorder="1" applyAlignment="1">
      <alignment vertical="center" wrapText="1"/>
    </xf>
    <xf numFmtId="49" fontId="45" fillId="29" borderId="14" xfId="0" applyNumberFormat="1" applyFont="1" applyFill="1" applyBorder="1" applyAlignment="1">
      <alignment horizontal="center" vertical="center" wrapText="1"/>
    </xf>
    <xf numFmtId="0" fontId="45" fillId="29" borderId="14" xfId="0" applyFont="1" applyFill="1" applyBorder="1" applyAlignment="1">
      <alignment vertical="center" wrapText="1"/>
    </xf>
    <xf numFmtId="49" fontId="45" fillId="0" borderId="14" xfId="0" applyNumberFormat="1" applyFont="1" applyBorder="1" applyAlignment="1">
      <alignment horizontal="center" vertical="center" wrapText="1"/>
    </xf>
    <xf numFmtId="0" fontId="44" fillId="30" borderId="14" xfId="0" applyFont="1" applyFill="1" applyBorder="1" applyAlignment="1">
      <alignment horizontal="center" vertical="center" wrapText="1"/>
    </xf>
    <xf numFmtId="49" fontId="44" fillId="30" borderId="14" xfId="0" applyNumberFormat="1" applyFont="1" applyFill="1" applyBorder="1" applyAlignment="1">
      <alignment horizontal="center" vertical="center" wrapText="1"/>
    </xf>
    <xf numFmtId="0" fontId="44" fillId="30" borderId="14" xfId="0" applyFont="1" applyFill="1" applyBorder="1" applyAlignment="1">
      <alignment horizontal="left" vertical="center" wrapText="1"/>
    </xf>
    <xf numFmtId="2" fontId="44" fillId="27" borderId="14" xfId="0" applyNumberFormat="1" applyFont="1" applyFill="1" applyBorder="1" applyAlignment="1">
      <alignment vertical="center" wrapText="1"/>
    </xf>
    <xf numFmtId="0" fontId="45" fillId="27" borderId="14" xfId="0" applyFont="1" applyFill="1" applyBorder="1" applyAlignment="1">
      <alignment vertical="center" wrapText="1"/>
    </xf>
    <xf numFmtId="165" fontId="44" fillId="30" borderId="14" xfId="144" applyFont="1" applyFill="1" applyBorder="1" applyAlignment="1">
      <alignment horizontal="right" vertical="center" wrapText="1"/>
    </xf>
    <xf numFmtId="165" fontId="44" fillId="54" borderId="14" xfId="144" applyFont="1" applyFill="1" applyBorder="1" applyAlignment="1">
      <alignment horizontal="right" vertical="center" wrapText="1"/>
    </xf>
    <xf numFmtId="49" fontId="44" fillId="27" borderId="23" xfId="0" applyNumberFormat="1" applyFont="1" applyFill="1" applyBorder="1" applyAlignment="1">
      <alignment horizontal="center" vertical="center" wrapText="1"/>
    </xf>
    <xf numFmtId="0" fontId="44" fillId="27" borderId="23" xfId="0" applyFont="1" applyFill="1" applyBorder="1" applyAlignment="1">
      <alignment vertical="center" wrapText="1"/>
    </xf>
    <xf numFmtId="0" fontId="44" fillId="27" borderId="22" xfId="0" applyFont="1" applyFill="1" applyBorder="1" applyAlignment="1">
      <alignment vertical="center" wrapText="1"/>
    </xf>
    <xf numFmtId="165" fontId="45" fillId="29" borderId="20" xfId="0" applyNumberFormat="1" applyFont="1" applyFill="1" applyBorder="1" applyAlignment="1">
      <alignment vertical="center" wrapText="1"/>
    </xf>
    <xf numFmtId="2" fontId="44" fillId="27" borderId="20" xfId="0" applyNumberFormat="1" applyFont="1" applyFill="1" applyBorder="1" applyAlignment="1">
      <alignment vertical="center" wrapText="1"/>
    </xf>
    <xf numFmtId="165" fontId="44" fillId="54" borderId="20" xfId="144" applyFont="1" applyFill="1" applyBorder="1" applyAlignment="1">
      <alignment horizontal="right" vertical="center" wrapText="1"/>
    </xf>
    <xf numFmtId="0" fontId="45" fillId="28" borderId="23" xfId="0" applyFont="1" applyFill="1" applyBorder="1" applyAlignment="1">
      <alignment horizontal="center" vertical="center" wrapText="1"/>
    </xf>
    <xf numFmtId="0" fontId="44" fillId="31" borderId="18" xfId="0" applyFont="1" applyFill="1" applyBorder="1" applyAlignment="1">
      <alignment horizontal="center" vertical="center" wrapText="1"/>
    </xf>
    <xf numFmtId="0" fontId="45" fillId="28" borderId="18" xfId="0" applyFont="1" applyFill="1" applyBorder="1" applyAlignment="1">
      <alignment horizontal="center" vertical="center" wrapText="1"/>
    </xf>
    <xf numFmtId="165" fontId="47" fillId="31" borderId="23" xfId="143" applyFont="1" applyFill="1" applyBorder="1" applyAlignment="1">
      <alignment horizontal="center" vertical="center" wrapText="1"/>
    </xf>
    <xf numFmtId="0" fontId="47" fillId="31" borderId="22" xfId="0" applyFont="1" applyFill="1" applyBorder="1" applyAlignment="1">
      <alignment horizontal="center" vertical="center" wrapText="1"/>
    </xf>
    <xf numFmtId="4" fontId="48" fillId="31" borderId="18" xfId="0" applyNumberFormat="1" applyFont="1" applyFill="1" applyBorder="1" applyAlignment="1">
      <alignment vertical="center"/>
    </xf>
    <xf numFmtId="4" fontId="48" fillId="31" borderId="17" xfId="0" applyNumberFormat="1" applyFont="1" applyFill="1" applyBorder="1" applyAlignment="1">
      <alignment vertical="center"/>
    </xf>
    <xf numFmtId="0" fontId="46" fillId="27" borderId="25" xfId="0" applyFont="1" applyFill="1" applyBorder="1" applyAlignment="1">
      <alignment vertical="center" wrapText="1"/>
    </xf>
    <xf numFmtId="0" fontId="46" fillId="27" borderId="25" xfId="0" applyFont="1" applyFill="1" applyBorder="1" applyAlignment="1">
      <alignment horizontal="left" vertical="center" wrapText="1"/>
    </xf>
    <xf numFmtId="0" fontId="49" fillId="27" borderId="25" xfId="0" applyFont="1" applyFill="1" applyBorder="1" applyAlignment="1">
      <alignment horizontal="right" vertical="center" wrapText="1"/>
    </xf>
    <xf numFmtId="0" fontId="49" fillId="27" borderId="26" xfId="0" applyFont="1" applyFill="1" applyBorder="1" applyAlignment="1">
      <alignment horizontal="right" vertical="center" wrapText="1"/>
    </xf>
    <xf numFmtId="0" fontId="49" fillId="0" borderId="0" xfId="0" applyFont="1" applyAlignment="1">
      <alignment horizontal="right" vertical="center" wrapText="1"/>
    </xf>
    <xf numFmtId="0" fontId="46" fillId="27" borderId="24" xfId="0" applyFont="1" applyFill="1" applyBorder="1" applyAlignment="1">
      <alignment vertical="center" wrapText="1"/>
    </xf>
    <xf numFmtId="0" fontId="49" fillId="29" borderId="21" xfId="0" applyFont="1" applyFill="1" applyBorder="1" applyAlignment="1">
      <alignment horizontal="left" vertical="center" wrapText="1"/>
    </xf>
    <xf numFmtId="0" fontId="46" fillId="27" borderId="21" xfId="0" applyFont="1" applyFill="1" applyBorder="1" applyAlignment="1">
      <alignment vertical="center" wrapText="1"/>
    </xf>
    <xf numFmtId="0" fontId="46" fillId="30" borderId="21" xfId="0" applyFont="1" applyFill="1" applyBorder="1" applyAlignment="1">
      <alignment horizontal="center" vertical="center" wrapText="1"/>
    </xf>
    <xf numFmtId="0" fontId="46" fillId="27" borderId="0" xfId="0" applyFont="1" applyFill="1" applyAlignment="1">
      <alignment vertical="center" wrapText="1"/>
    </xf>
    <xf numFmtId="0" fontId="46" fillId="53" borderId="0" xfId="0" applyFont="1" applyFill="1" applyAlignment="1">
      <alignment horizontal="center" vertical="center"/>
    </xf>
    <xf numFmtId="0" fontId="46" fillId="53" borderId="16" xfId="0" applyFont="1" applyFill="1" applyBorder="1" applyAlignment="1">
      <alignment horizontal="center" vertical="center"/>
    </xf>
    <xf numFmtId="0" fontId="46" fillId="0" borderId="27" xfId="0" applyFont="1" applyBorder="1" applyAlignment="1">
      <alignment horizontal="center" vertical="center" wrapText="1"/>
    </xf>
    <xf numFmtId="0" fontId="46" fillId="27" borderId="23" xfId="0" applyFont="1" applyFill="1" applyBorder="1" applyAlignment="1">
      <alignment horizontal="center" vertical="center" wrapText="1"/>
    </xf>
    <xf numFmtId="0" fontId="49" fillId="29" borderId="14" xfId="0" applyFont="1" applyFill="1" applyBorder="1" applyAlignment="1">
      <alignment horizontal="center" vertical="center" wrapText="1"/>
    </xf>
    <xf numFmtId="0" fontId="49" fillId="0" borderId="14" xfId="0" applyFont="1" applyBorder="1" applyAlignment="1">
      <alignment horizontal="center" vertical="center" wrapText="1"/>
    </xf>
    <xf numFmtId="0" fontId="46" fillId="30" borderId="14" xfId="0" applyFont="1" applyFill="1" applyBorder="1" applyAlignment="1">
      <alignment horizontal="center" vertical="center" wrapText="1"/>
    </xf>
    <xf numFmtId="0" fontId="49" fillId="0" borderId="0" xfId="0" applyFont="1" applyAlignment="1">
      <alignment horizontal="center" vertical="center" wrapText="1"/>
    </xf>
    <xf numFmtId="0" fontId="50" fillId="30" borderId="21" xfId="0" applyFont="1" applyFill="1" applyBorder="1" applyAlignment="1">
      <alignment horizontal="center" vertical="center" wrapText="1"/>
    </xf>
    <xf numFmtId="0" fontId="50" fillId="30" borderId="14" xfId="0" applyFont="1" applyFill="1" applyBorder="1" applyAlignment="1">
      <alignment horizontal="center" vertical="center" wrapText="1"/>
    </xf>
    <xf numFmtId="49" fontId="4" fillId="30" borderId="14" xfId="0" applyNumberFormat="1" applyFont="1" applyFill="1" applyBorder="1" applyAlignment="1">
      <alignment horizontal="center" vertical="center" wrapText="1"/>
    </xf>
    <xf numFmtId="0" fontId="4" fillId="30" borderId="14" xfId="0" applyFont="1" applyFill="1" applyBorder="1" applyAlignment="1">
      <alignment horizontal="left" vertical="center" wrapText="1"/>
    </xf>
    <xf numFmtId="0" fontId="4" fillId="30" borderId="14" xfId="0" applyFont="1" applyFill="1" applyBorder="1" applyAlignment="1">
      <alignment horizontal="center" vertical="center" wrapText="1"/>
    </xf>
    <xf numFmtId="165" fontId="4" fillId="54" borderId="14" xfId="144" applyFont="1" applyFill="1" applyBorder="1" applyAlignment="1">
      <alignment horizontal="right" vertical="center" wrapText="1"/>
    </xf>
    <xf numFmtId="165" fontId="4" fillId="54" borderId="20" xfId="144" applyFont="1" applyFill="1" applyBorder="1" applyAlignment="1">
      <alignment horizontal="right" vertical="center" wrapText="1"/>
    </xf>
    <xf numFmtId="165" fontId="4" fillId="30" borderId="14" xfId="144" applyFont="1" applyFill="1" applyBorder="1" applyAlignment="1">
      <alignment horizontal="right" vertical="center" wrapText="1"/>
    </xf>
    <xf numFmtId="0" fontId="50" fillId="27" borderId="21" xfId="0" applyFont="1" applyFill="1" applyBorder="1" applyAlignment="1">
      <alignment horizontal="center" vertical="center" wrapText="1"/>
    </xf>
    <xf numFmtId="0" fontId="50" fillId="27" borderId="14" xfId="0" applyFont="1" applyFill="1" applyBorder="1" applyAlignment="1">
      <alignment horizontal="center" vertical="center" wrapText="1"/>
    </xf>
    <xf numFmtId="0" fontId="4" fillId="27" borderId="14" xfId="0" applyFont="1" applyFill="1" applyBorder="1" applyAlignment="1">
      <alignment horizontal="center" vertical="center" wrapText="1"/>
    </xf>
    <xf numFmtId="165" fontId="4" fillId="27" borderId="14" xfId="144" applyFont="1" applyFill="1" applyBorder="1" applyAlignment="1">
      <alignment horizontal="right" vertical="center" wrapText="1"/>
    </xf>
    <xf numFmtId="165" fontId="4" fillId="27" borderId="20" xfId="144" applyFont="1" applyFill="1" applyBorder="1" applyAlignment="1">
      <alignment horizontal="right" vertical="center" wrapText="1"/>
    </xf>
    <xf numFmtId="3" fontId="50" fillId="30" borderId="14" xfId="0" applyNumberFormat="1" applyFont="1" applyFill="1" applyBorder="1" applyAlignment="1">
      <alignment horizontal="center" vertical="center" wrapText="1"/>
    </xf>
    <xf numFmtId="0" fontId="52" fillId="29" borderId="21" xfId="0" applyFont="1" applyFill="1" applyBorder="1" applyAlignment="1">
      <alignment horizontal="left" vertical="center" wrapText="1"/>
    </xf>
    <xf numFmtId="0" fontId="52" fillId="29" borderId="14" xfId="0" applyFont="1" applyFill="1" applyBorder="1" applyAlignment="1">
      <alignment horizontal="center" vertical="center" wrapText="1"/>
    </xf>
    <xf numFmtId="0" fontId="51" fillId="29" borderId="14" xfId="0" applyFont="1" applyFill="1" applyBorder="1" applyAlignment="1">
      <alignment vertical="center" wrapText="1"/>
    </xf>
    <xf numFmtId="165" fontId="51" fillId="29" borderId="20" xfId="0" applyNumberFormat="1" applyFont="1" applyFill="1" applyBorder="1" applyAlignment="1">
      <alignment vertical="center" wrapText="1"/>
    </xf>
    <xf numFmtId="165" fontId="44" fillId="27" borderId="14" xfId="144" applyFont="1" applyFill="1" applyBorder="1" applyAlignment="1">
      <alignment vertical="center" wrapText="1"/>
    </xf>
    <xf numFmtId="0" fontId="44" fillId="30" borderId="14" xfId="0" quotePrefix="1" applyFont="1" applyFill="1" applyBorder="1" applyAlignment="1">
      <alignment horizontal="left" vertical="center" wrapText="1"/>
    </xf>
    <xf numFmtId="165" fontId="44" fillId="30" borderId="20" xfId="144" applyFont="1" applyFill="1" applyBorder="1" applyAlignment="1">
      <alignment horizontal="right" vertical="center" wrapText="1"/>
    </xf>
    <xf numFmtId="0" fontId="51" fillId="29" borderId="14" xfId="0" applyFont="1" applyFill="1" applyBorder="1" applyAlignment="1">
      <alignment horizontal="center" vertical="center" wrapText="1"/>
    </xf>
    <xf numFmtId="0" fontId="45" fillId="53" borderId="0" xfId="0" applyFont="1" applyFill="1" applyAlignment="1">
      <alignment horizontal="right" vertical="center"/>
    </xf>
    <xf numFmtId="0" fontId="45" fillId="53" borderId="16" xfId="0" applyFont="1" applyFill="1" applyBorder="1" applyAlignment="1">
      <alignment horizontal="right" vertical="center"/>
    </xf>
    <xf numFmtId="4" fontId="44" fillId="27" borderId="0" xfId="0" quotePrefix="1" applyNumberFormat="1" applyFont="1" applyFill="1" applyAlignment="1">
      <alignment vertical="center"/>
    </xf>
    <xf numFmtId="0" fontId="34" fillId="55" borderId="21" xfId="0" applyFont="1" applyFill="1" applyBorder="1" applyAlignment="1">
      <alignment horizontal="center" vertical="center"/>
    </xf>
    <xf numFmtId="0" fontId="34" fillId="55" borderId="14" xfId="0" applyFont="1" applyFill="1" applyBorder="1" applyAlignment="1">
      <alignment horizontal="center" vertical="center"/>
    </xf>
    <xf numFmtId="0" fontId="34" fillId="55" borderId="14" xfId="0" applyFont="1" applyFill="1" applyBorder="1" applyAlignment="1">
      <alignment vertical="center" wrapText="1"/>
    </xf>
    <xf numFmtId="2" fontId="34" fillId="55" borderId="14" xfId="0" applyNumberFormat="1" applyFont="1" applyFill="1" applyBorder="1" applyAlignment="1">
      <alignment horizontal="center" vertical="center"/>
    </xf>
    <xf numFmtId="2" fontId="34" fillId="55" borderId="14" xfId="0" applyNumberFormat="1" applyFont="1" applyFill="1" applyBorder="1" applyAlignment="1">
      <alignment vertical="center"/>
    </xf>
    <xf numFmtId="4" fontId="34" fillId="55" borderId="20" xfId="0" applyNumberFormat="1" applyFont="1" applyFill="1" applyBorder="1" applyAlignment="1">
      <alignment vertical="center"/>
    </xf>
    <xf numFmtId="0" fontId="46" fillId="56" borderId="21" xfId="0" applyFont="1" applyFill="1" applyBorder="1" applyAlignment="1">
      <alignment vertical="center" wrapText="1"/>
    </xf>
    <xf numFmtId="0" fontId="49" fillId="56" borderId="14" xfId="0" applyFont="1" applyFill="1" applyBorder="1" applyAlignment="1">
      <alignment horizontal="center" vertical="center" wrapText="1"/>
    </xf>
    <xf numFmtId="49" fontId="45" fillId="56" borderId="14" xfId="0" applyNumberFormat="1" applyFont="1" applyFill="1" applyBorder="1" applyAlignment="1">
      <alignment horizontal="center" vertical="center" wrapText="1"/>
    </xf>
    <xf numFmtId="0" fontId="45" fillId="56" borderId="14" xfId="0" applyFont="1" applyFill="1" applyBorder="1" applyAlignment="1">
      <alignment vertical="center" wrapText="1"/>
    </xf>
    <xf numFmtId="0" fontId="44" fillId="56" borderId="14" xfId="0" applyFont="1" applyFill="1" applyBorder="1" applyAlignment="1">
      <alignment vertical="center" wrapText="1"/>
    </xf>
    <xf numFmtId="2" fontId="44" fillId="56" borderId="14" xfId="0" applyNumberFormat="1" applyFont="1" applyFill="1" applyBorder="1" applyAlignment="1">
      <alignment vertical="center" wrapText="1"/>
    </xf>
    <xf numFmtId="4" fontId="45" fillId="56" borderId="20" xfId="0" applyNumberFormat="1" applyFont="1" applyFill="1" applyBorder="1" applyAlignment="1">
      <alignment vertical="center" wrapText="1"/>
    </xf>
    <xf numFmtId="0" fontId="52" fillId="56" borderId="14" xfId="0" applyFont="1" applyFill="1" applyBorder="1" applyAlignment="1">
      <alignment horizontal="center" vertical="center" wrapText="1"/>
    </xf>
    <xf numFmtId="49" fontId="51" fillId="56" borderId="14" xfId="0" applyNumberFormat="1" applyFont="1" applyFill="1" applyBorder="1" applyAlignment="1">
      <alignment horizontal="center" vertical="center" wrapText="1"/>
    </xf>
    <xf numFmtId="0" fontId="51" fillId="56" borderId="14" xfId="0" applyFont="1" applyFill="1" applyBorder="1" applyAlignment="1">
      <alignment vertical="center" wrapText="1"/>
    </xf>
    <xf numFmtId="165" fontId="44" fillId="56" borderId="14" xfId="144" applyFont="1" applyFill="1" applyBorder="1" applyAlignment="1">
      <alignment vertical="center" wrapText="1"/>
    </xf>
    <xf numFmtId="0" fontId="50" fillId="56" borderId="21" xfId="0" applyFont="1" applyFill="1" applyBorder="1" applyAlignment="1">
      <alignment vertical="center" wrapText="1"/>
    </xf>
    <xf numFmtId="0" fontId="4" fillId="56" borderId="14" xfId="0" applyFont="1" applyFill="1" applyBorder="1" applyAlignment="1">
      <alignment vertical="center" wrapText="1"/>
    </xf>
    <xf numFmtId="2" fontId="4" fillId="56" borderId="14" xfId="0" applyNumberFormat="1" applyFont="1" applyFill="1" applyBorder="1" applyAlignment="1">
      <alignment vertical="center" wrapText="1"/>
    </xf>
    <xf numFmtId="165" fontId="44" fillId="27" borderId="15" xfId="0" applyNumberFormat="1" applyFont="1" applyFill="1" applyBorder="1" applyAlignment="1">
      <alignment horizontal="left" vertical="center"/>
    </xf>
    <xf numFmtId="0" fontId="4" fillId="27" borderId="14" xfId="144" applyNumberFormat="1" applyFont="1" applyFill="1" applyBorder="1" applyAlignment="1">
      <alignment horizontal="right" vertical="center" wrapText="1"/>
    </xf>
    <xf numFmtId="165" fontId="4" fillId="0" borderId="14" xfId="144" applyFont="1" applyBorder="1" applyAlignment="1" applyProtection="1">
      <alignment horizontal="right" vertical="center" wrapText="1"/>
    </xf>
    <xf numFmtId="165" fontId="4" fillId="56" borderId="14" xfId="144" applyFont="1" applyFill="1" applyBorder="1" applyAlignment="1">
      <alignment vertical="center" wrapText="1"/>
    </xf>
    <xf numFmtId="165" fontId="4" fillId="30" borderId="20" xfId="144" applyFont="1" applyFill="1" applyBorder="1" applyAlignment="1">
      <alignment horizontal="right" vertical="center" wrapText="1"/>
    </xf>
    <xf numFmtId="2" fontId="34" fillId="55" borderId="14" xfId="0" applyNumberFormat="1" applyFont="1" applyFill="1" applyBorder="1" applyAlignment="1">
      <alignment horizontal="right" vertical="center"/>
    </xf>
    <xf numFmtId="165" fontId="44" fillId="27" borderId="16" xfId="0" applyNumberFormat="1" applyFont="1" applyFill="1" applyBorder="1" applyAlignment="1">
      <alignment horizontal="left" vertical="center"/>
    </xf>
    <xf numFmtId="165" fontId="47" fillId="57" borderId="23" xfId="143" applyFont="1" applyFill="1" applyBorder="1" applyAlignment="1">
      <alignment horizontal="center" vertical="center" wrapText="1"/>
    </xf>
    <xf numFmtId="4" fontId="48" fillId="57" borderId="18" xfId="0" applyNumberFormat="1" applyFont="1" applyFill="1" applyBorder="1" applyAlignment="1">
      <alignment vertical="center"/>
    </xf>
    <xf numFmtId="0" fontId="45" fillId="58" borderId="18" xfId="0" applyFont="1" applyFill="1" applyBorder="1" applyAlignment="1">
      <alignment horizontal="center" vertical="center" wrapText="1"/>
    </xf>
    <xf numFmtId="0" fontId="44" fillId="57" borderId="23" xfId="0" applyFont="1" applyFill="1" applyBorder="1" applyAlignment="1">
      <alignment vertical="center" wrapText="1"/>
    </xf>
    <xf numFmtId="0" fontId="45" fillId="57" borderId="14" xfId="0" applyFont="1" applyFill="1" applyBorder="1" applyAlignment="1">
      <alignment vertical="center" wrapText="1"/>
    </xf>
    <xf numFmtId="165" fontId="4" fillId="57" borderId="14" xfId="144" applyFont="1" applyFill="1" applyBorder="1" applyAlignment="1">
      <alignment horizontal="right" vertical="center" wrapText="1"/>
    </xf>
    <xf numFmtId="165" fontId="44" fillId="57" borderId="14" xfId="144" applyFont="1" applyFill="1" applyBorder="1" applyAlignment="1">
      <alignment vertical="center" wrapText="1"/>
    </xf>
    <xf numFmtId="165" fontId="44" fillId="57" borderId="14" xfId="144" applyFont="1" applyFill="1" applyBorder="1" applyAlignment="1">
      <alignment horizontal="right" vertical="center" wrapText="1"/>
    </xf>
    <xf numFmtId="165" fontId="4" fillId="57" borderId="14" xfId="144" applyFont="1" applyFill="1" applyBorder="1" applyAlignment="1" applyProtection="1">
      <alignment horizontal="right" vertical="center" wrapText="1"/>
    </xf>
    <xf numFmtId="0" fontId="51" fillId="57" borderId="14" xfId="0" applyFont="1" applyFill="1" applyBorder="1" applyAlignment="1">
      <alignment vertical="center" wrapText="1"/>
    </xf>
    <xf numFmtId="165" fontId="4" fillId="57" borderId="14" xfId="144" applyFont="1" applyFill="1" applyBorder="1" applyAlignment="1">
      <alignment vertical="center" wrapText="1"/>
    </xf>
    <xf numFmtId="2" fontId="34" fillId="59" borderId="14" xfId="0" applyNumberFormat="1" applyFont="1" applyFill="1" applyBorder="1" applyAlignment="1">
      <alignment vertical="center"/>
    </xf>
    <xf numFmtId="165" fontId="44" fillId="57" borderId="0" xfId="143" applyFont="1" applyFill="1" applyBorder="1" applyAlignment="1">
      <alignment vertical="center" wrapText="1"/>
    </xf>
    <xf numFmtId="0" fontId="48" fillId="57" borderId="24" xfId="0" applyFont="1" applyFill="1" applyBorder="1"/>
    <xf numFmtId="4" fontId="48" fillId="57" borderId="23" xfId="0" applyNumberFormat="1" applyFont="1" applyFill="1" applyBorder="1"/>
    <xf numFmtId="0" fontId="48" fillId="57" borderId="21" xfId="0" applyFont="1" applyFill="1" applyBorder="1"/>
    <xf numFmtId="4" fontId="48" fillId="57" borderId="14" xfId="0" applyNumberFormat="1" applyFont="1" applyFill="1" applyBorder="1"/>
    <xf numFmtId="0" fontId="48" fillId="57" borderId="19" xfId="0" applyFont="1" applyFill="1" applyBorder="1"/>
    <xf numFmtId="4" fontId="48" fillId="57" borderId="18" xfId="0" applyNumberFormat="1" applyFont="1" applyFill="1" applyBorder="1"/>
    <xf numFmtId="10" fontId="48" fillId="57" borderId="22" xfId="0" applyNumberFormat="1" applyFont="1" applyFill="1" applyBorder="1"/>
    <xf numFmtId="10" fontId="48" fillId="57" borderId="20" xfId="0" applyNumberFormat="1" applyFont="1" applyFill="1" applyBorder="1"/>
    <xf numFmtId="10" fontId="48" fillId="57" borderId="17" xfId="0" applyNumberFormat="1" applyFont="1" applyFill="1" applyBorder="1"/>
    <xf numFmtId="0" fontId="45" fillId="28" borderId="37" xfId="0" applyFont="1" applyFill="1" applyBorder="1" applyAlignment="1">
      <alignment horizontal="center" vertical="center" wrapText="1"/>
    </xf>
    <xf numFmtId="0" fontId="45" fillId="28" borderId="29" xfId="0" applyFont="1" applyFill="1" applyBorder="1" applyAlignment="1">
      <alignment horizontal="center" vertical="center" wrapText="1"/>
    </xf>
    <xf numFmtId="0" fontId="48" fillId="31" borderId="31" xfId="0" applyFont="1" applyFill="1" applyBorder="1" applyAlignment="1">
      <alignment horizontal="center" vertical="center" wrapText="1"/>
    </xf>
    <xf numFmtId="0" fontId="48" fillId="31" borderId="30" xfId="0" applyFont="1" applyFill="1" applyBorder="1" applyAlignment="1">
      <alignment horizontal="center" vertical="center"/>
    </xf>
    <xf numFmtId="0" fontId="48" fillId="31" borderId="38" xfId="0" applyFont="1" applyFill="1" applyBorder="1" applyAlignment="1">
      <alignment horizontal="center" vertical="center"/>
    </xf>
    <xf numFmtId="0" fontId="48" fillId="31" borderId="26" xfId="0" applyFont="1" applyFill="1" applyBorder="1" applyAlignment="1">
      <alignment horizontal="center" vertical="center"/>
    </xf>
    <xf numFmtId="0" fontId="48" fillId="31" borderId="16" xfId="0" applyFont="1" applyFill="1" applyBorder="1" applyAlignment="1">
      <alignment horizontal="center" vertical="center"/>
    </xf>
    <xf numFmtId="0" fontId="48" fillId="31" borderId="39" xfId="0" applyFont="1" applyFill="1" applyBorder="1" applyAlignment="1">
      <alignment horizontal="center" vertical="center"/>
    </xf>
    <xf numFmtId="0" fontId="45" fillId="28" borderId="33" xfId="0" applyFont="1" applyFill="1" applyBorder="1" applyAlignment="1">
      <alignment horizontal="center" vertical="center" wrapText="1"/>
    </xf>
    <xf numFmtId="0" fontId="45" fillId="28" borderId="28" xfId="0" applyFont="1" applyFill="1" applyBorder="1" applyAlignment="1">
      <alignment horizontal="center" vertical="center" wrapText="1"/>
    </xf>
    <xf numFmtId="0" fontId="53" fillId="27" borderId="31" xfId="0" applyFont="1" applyFill="1" applyBorder="1" applyAlignment="1">
      <alignment horizontal="center" vertical="center" wrapText="1"/>
    </xf>
    <xf numFmtId="0" fontId="53" fillId="27" borderId="30" xfId="0" applyFont="1" applyFill="1" applyBorder="1" applyAlignment="1">
      <alignment horizontal="center" vertical="center" wrapText="1"/>
    </xf>
    <xf numFmtId="0" fontId="53" fillId="27" borderId="32" xfId="0" applyFont="1" applyFill="1" applyBorder="1" applyAlignment="1">
      <alignment horizontal="center" vertical="center" wrapText="1"/>
    </xf>
    <xf numFmtId="0" fontId="48" fillId="27" borderId="25" xfId="0" applyFont="1" applyFill="1" applyBorder="1" applyAlignment="1">
      <alignment horizontal="center" vertical="center" wrapText="1"/>
    </xf>
    <xf numFmtId="0" fontId="48" fillId="27" borderId="0" xfId="0" applyFont="1" applyFill="1" applyAlignment="1">
      <alignment horizontal="center" vertical="center" wrapText="1"/>
    </xf>
    <xf numFmtId="0" fontId="48" fillId="27" borderId="15" xfId="0" applyFont="1" applyFill="1" applyBorder="1" applyAlignment="1">
      <alignment horizontal="center" vertical="center" wrapText="1"/>
    </xf>
    <xf numFmtId="0" fontId="55" fillId="27" borderId="25" xfId="0" applyFont="1" applyFill="1" applyBorder="1" applyAlignment="1">
      <alignment horizontal="center" vertical="center" wrapText="1"/>
    </xf>
    <xf numFmtId="0" fontId="55" fillId="27" borderId="0" xfId="0" applyFont="1" applyFill="1" applyAlignment="1">
      <alignment horizontal="center" vertical="center" wrapText="1"/>
    </xf>
    <xf numFmtId="0" fontId="44" fillId="0" borderId="28" xfId="0" applyFont="1" applyBorder="1" applyAlignment="1">
      <alignment horizontal="center" vertical="center" wrapText="1"/>
    </xf>
    <xf numFmtId="49" fontId="45" fillId="28" borderId="33" xfId="0" applyNumberFormat="1" applyFont="1" applyFill="1" applyBorder="1" applyAlignment="1">
      <alignment horizontal="center" vertical="center" wrapText="1"/>
    </xf>
    <xf numFmtId="49" fontId="44" fillId="31" borderId="28" xfId="0" applyNumberFormat="1" applyFont="1" applyFill="1" applyBorder="1" applyAlignment="1">
      <alignment horizontal="center" vertical="center" wrapText="1"/>
    </xf>
    <xf numFmtId="0" fontId="45" fillId="28" borderId="34" xfId="0" applyFont="1" applyFill="1" applyBorder="1" applyAlignment="1">
      <alignment horizontal="center" vertical="center" wrapText="1"/>
    </xf>
    <xf numFmtId="0" fontId="45" fillId="28" borderId="35" xfId="0" applyFont="1" applyFill="1" applyBorder="1" applyAlignment="1">
      <alignment horizontal="center" vertical="center" wrapText="1"/>
    </xf>
    <xf numFmtId="0" fontId="45" fillId="28" borderId="36" xfId="0" applyFont="1" applyFill="1" applyBorder="1" applyAlignment="1">
      <alignment horizontal="center" vertical="center" wrapText="1"/>
    </xf>
    <xf numFmtId="0" fontId="45" fillId="28" borderId="24" xfId="0" quotePrefix="1" applyFont="1" applyFill="1" applyBorder="1" applyAlignment="1">
      <alignment horizontal="center" vertical="center" wrapText="1"/>
    </xf>
    <xf numFmtId="0" fontId="44" fillId="31" borderId="19" xfId="0" applyFont="1" applyFill="1" applyBorder="1" applyAlignment="1">
      <alignment horizontal="center" vertical="center" wrapText="1"/>
    </xf>
    <xf numFmtId="0" fontId="45" fillId="28" borderId="23" xfId="0" applyFont="1" applyFill="1" applyBorder="1" applyAlignment="1">
      <alignment horizontal="center" vertical="center" wrapText="1"/>
    </xf>
    <xf numFmtId="0" fontId="44" fillId="31" borderId="18" xfId="0" applyFont="1" applyFill="1" applyBorder="1" applyAlignment="1">
      <alignment horizontal="center" vertical="center" wrapText="1"/>
    </xf>
  </cellXfs>
  <cellStyles count="147">
    <cellStyle name="20% - Accent1" xfId="1" xr:uid="{00000000-0005-0000-0000-000000000000}"/>
    <cellStyle name="20% - Accent2" xfId="2" xr:uid="{00000000-0005-0000-0000-000001000000}"/>
    <cellStyle name="20% - Accent3" xfId="3" xr:uid="{00000000-0005-0000-0000-000002000000}"/>
    <cellStyle name="20% - Accent4" xfId="4" xr:uid="{00000000-0005-0000-0000-000003000000}"/>
    <cellStyle name="20% - Accent5" xfId="5" xr:uid="{00000000-0005-0000-0000-000004000000}"/>
    <cellStyle name="20% - Accent6" xfId="6" xr:uid="{00000000-0005-0000-0000-000005000000}"/>
    <cellStyle name="20% - Ênfase1" xfId="7" builtinId="30" customBuiltin="1"/>
    <cellStyle name="20% - Ênfase1 2" xfId="8" xr:uid="{00000000-0005-0000-0000-000007000000}"/>
    <cellStyle name="20% - Ênfase2" xfId="9" builtinId="34" customBuiltin="1"/>
    <cellStyle name="20% - Ênfase2 2" xfId="10" xr:uid="{00000000-0005-0000-0000-000009000000}"/>
    <cellStyle name="20% - Ênfase3" xfId="11" builtinId="38" customBuiltin="1"/>
    <cellStyle name="20% - Ênfase3 2" xfId="12" xr:uid="{00000000-0005-0000-0000-00000B000000}"/>
    <cellStyle name="20% - Ênfase4" xfId="13" builtinId="42" customBuiltin="1"/>
    <cellStyle name="20% - Ênfase4 2" xfId="14" xr:uid="{00000000-0005-0000-0000-00000D000000}"/>
    <cellStyle name="20% - Ênfase5" xfId="15" builtinId="46" customBuiltin="1"/>
    <cellStyle name="20% - Ênfase5 2" xfId="16" xr:uid="{00000000-0005-0000-0000-00000F000000}"/>
    <cellStyle name="20% - Ênfase6" xfId="17" builtinId="50" customBuiltin="1"/>
    <cellStyle name="20% - Ênfase6 2" xfId="18" xr:uid="{00000000-0005-0000-0000-000011000000}"/>
    <cellStyle name="40% - Accent1" xfId="19" xr:uid="{00000000-0005-0000-0000-000012000000}"/>
    <cellStyle name="40% - Accent2" xfId="20" xr:uid="{00000000-0005-0000-0000-000013000000}"/>
    <cellStyle name="40% - Accent3" xfId="21" xr:uid="{00000000-0005-0000-0000-000014000000}"/>
    <cellStyle name="40% - Accent4" xfId="22" xr:uid="{00000000-0005-0000-0000-000015000000}"/>
    <cellStyle name="40% - Accent5" xfId="23" xr:uid="{00000000-0005-0000-0000-000016000000}"/>
    <cellStyle name="40% - Accent6" xfId="24" xr:uid="{00000000-0005-0000-0000-000017000000}"/>
    <cellStyle name="40% - Ênfase1" xfId="25" builtinId="31" customBuiltin="1"/>
    <cellStyle name="40% - Ênfase1 2" xfId="26" xr:uid="{00000000-0005-0000-0000-000019000000}"/>
    <cellStyle name="40% - Ênfase2" xfId="27" builtinId="35" customBuiltin="1"/>
    <cellStyle name="40% - Ênfase2 2" xfId="28" xr:uid="{00000000-0005-0000-0000-00001B000000}"/>
    <cellStyle name="40% - Ênfase3" xfId="29" builtinId="39" customBuiltin="1"/>
    <cellStyle name="40% - Ênfase3 2" xfId="30" xr:uid="{00000000-0005-0000-0000-00001D000000}"/>
    <cellStyle name="40% - Ênfase4" xfId="31" builtinId="43" customBuiltin="1"/>
    <cellStyle name="40% - Ênfase4 2" xfId="32" xr:uid="{00000000-0005-0000-0000-00001F000000}"/>
    <cellStyle name="40% - Ênfase5" xfId="33" builtinId="47" customBuiltin="1"/>
    <cellStyle name="40% - Ênfase5 2" xfId="34" xr:uid="{00000000-0005-0000-0000-000021000000}"/>
    <cellStyle name="40% - Ênfase6" xfId="35" builtinId="51" customBuiltin="1"/>
    <cellStyle name="40% - Ênfase6 2" xfId="36" xr:uid="{00000000-0005-0000-0000-000023000000}"/>
    <cellStyle name="60% - Accent1" xfId="37" xr:uid="{00000000-0005-0000-0000-000024000000}"/>
    <cellStyle name="60% - Accent2" xfId="38" xr:uid="{00000000-0005-0000-0000-000025000000}"/>
    <cellStyle name="60% - Accent3" xfId="39" xr:uid="{00000000-0005-0000-0000-000026000000}"/>
    <cellStyle name="60% - Accent4" xfId="40" xr:uid="{00000000-0005-0000-0000-000027000000}"/>
    <cellStyle name="60% - Accent5" xfId="41" xr:uid="{00000000-0005-0000-0000-000028000000}"/>
    <cellStyle name="60% - Accent6" xfId="42" xr:uid="{00000000-0005-0000-0000-000029000000}"/>
    <cellStyle name="60% - Ênfase1" xfId="43" builtinId="32" customBuiltin="1"/>
    <cellStyle name="60% - Ênfase1 2" xfId="44" xr:uid="{00000000-0005-0000-0000-00002B000000}"/>
    <cellStyle name="60% - Ênfase2" xfId="45" builtinId="36" customBuiltin="1"/>
    <cellStyle name="60% - Ênfase2 2" xfId="46" xr:uid="{00000000-0005-0000-0000-00002D000000}"/>
    <cellStyle name="60% - Ênfase3" xfId="47" builtinId="40" customBuiltin="1"/>
    <cellStyle name="60% - Ênfase3 2" xfId="48" xr:uid="{00000000-0005-0000-0000-00002F000000}"/>
    <cellStyle name="60% - Ênfase4" xfId="49" builtinId="44" customBuiltin="1"/>
    <cellStyle name="60% - Ênfase4 2" xfId="50" xr:uid="{00000000-0005-0000-0000-000031000000}"/>
    <cellStyle name="60% - Ênfase5" xfId="51" builtinId="48" customBuiltin="1"/>
    <cellStyle name="60% - Ênfase5 2" xfId="52" xr:uid="{00000000-0005-0000-0000-000033000000}"/>
    <cellStyle name="60% - Ênfase6" xfId="53" builtinId="52" customBuiltin="1"/>
    <cellStyle name="60% - Ênfase6 2" xfId="54" xr:uid="{00000000-0005-0000-0000-000035000000}"/>
    <cellStyle name="Accent1" xfId="55" xr:uid="{00000000-0005-0000-0000-000036000000}"/>
    <cellStyle name="Accent2" xfId="56" xr:uid="{00000000-0005-0000-0000-000037000000}"/>
    <cellStyle name="Accent3" xfId="57" xr:uid="{00000000-0005-0000-0000-000038000000}"/>
    <cellStyle name="Accent4" xfId="58" xr:uid="{00000000-0005-0000-0000-000039000000}"/>
    <cellStyle name="Accent5" xfId="59" xr:uid="{00000000-0005-0000-0000-00003A000000}"/>
    <cellStyle name="Accent6" xfId="60" xr:uid="{00000000-0005-0000-0000-00003B000000}"/>
    <cellStyle name="Bad" xfId="61" xr:uid="{00000000-0005-0000-0000-00003C000000}"/>
    <cellStyle name="Bom" xfId="62" builtinId="26" customBuiltin="1"/>
    <cellStyle name="Bom 2" xfId="63" xr:uid="{00000000-0005-0000-0000-00003E000000}"/>
    <cellStyle name="Calculation" xfId="64" xr:uid="{00000000-0005-0000-0000-00003F000000}"/>
    <cellStyle name="Cálculo" xfId="65" builtinId="22" customBuiltin="1"/>
    <cellStyle name="Cálculo 2" xfId="66" xr:uid="{00000000-0005-0000-0000-000041000000}"/>
    <cellStyle name="Célula de Verificação" xfId="67" builtinId="23" customBuiltin="1"/>
    <cellStyle name="Célula de Verificação 2" xfId="68" xr:uid="{00000000-0005-0000-0000-000043000000}"/>
    <cellStyle name="Célula Vinculada" xfId="69" builtinId="24" customBuiltin="1"/>
    <cellStyle name="Célula Vinculada 2" xfId="70" xr:uid="{00000000-0005-0000-0000-000045000000}"/>
    <cellStyle name="Check Cell" xfId="71" xr:uid="{00000000-0005-0000-0000-000046000000}"/>
    <cellStyle name="Ênfase1" xfId="72" builtinId="29" customBuiltin="1"/>
    <cellStyle name="Ênfase1 2" xfId="73" xr:uid="{00000000-0005-0000-0000-000048000000}"/>
    <cellStyle name="Ênfase2" xfId="74" builtinId="33" customBuiltin="1"/>
    <cellStyle name="Ênfase2 2" xfId="75" xr:uid="{00000000-0005-0000-0000-00004A000000}"/>
    <cellStyle name="Ênfase3" xfId="76" builtinId="37" customBuiltin="1"/>
    <cellStyle name="Ênfase3 2" xfId="77" xr:uid="{00000000-0005-0000-0000-00004C000000}"/>
    <cellStyle name="Ênfase4" xfId="78" builtinId="41" customBuiltin="1"/>
    <cellStyle name="Ênfase4 2" xfId="79" xr:uid="{00000000-0005-0000-0000-00004E000000}"/>
    <cellStyle name="Ênfase5" xfId="80" builtinId="45" customBuiltin="1"/>
    <cellStyle name="Ênfase5 2" xfId="81" xr:uid="{00000000-0005-0000-0000-000050000000}"/>
    <cellStyle name="Ênfase6" xfId="82" builtinId="49" customBuiltin="1"/>
    <cellStyle name="Ênfase6 2" xfId="83" xr:uid="{00000000-0005-0000-0000-000052000000}"/>
    <cellStyle name="Ênfase6 4" xfId="84" xr:uid="{00000000-0005-0000-0000-000053000000}"/>
    <cellStyle name="Entrada" xfId="85" builtinId="20" customBuiltin="1"/>
    <cellStyle name="Entrada 2" xfId="86" xr:uid="{00000000-0005-0000-0000-000055000000}"/>
    <cellStyle name="Explanatory Text" xfId="87" xr:uid="{00000000-0005-0000-0000-000056000000}"/>
    <cellStyle name="Good" xfId="88" xr:uid="{00000000-0005-0000-0000-000057000000}"/>
    <cellStyle name="Heading 1" xfId="89" xr:uid="{00000000-0005-0000-0000-000058000000}"/>
    <cellStyle name="Heading 2" xfId="90" xr:uid="{00000000-0005-0000-0000-000059000000}"/>
    <cellStyle name="Heading 3" xfId="91" xr:uid="{00000000-0005-0000-0000-00005A000000}"/>
    <cellStyle name="Heading 4" xfId="92" xr:uid="{00000000-0005-0000-0000-00005B000000}"/>
    <cellStyle name="Incorreto 2" xfId="93" xr:uid="{00000000-0005-0000-0000-00005C000000}"/>
    <cellStyle name="Input" xfId="94" xr:uid="{00000000-0005-0000-0000-00005D000000}"/>
    <cellStyle name="Linked Cell" xfId="95" xr:uid="{00000000-0005-0000-0000-00005E000000}"/>
    <cellStyle name="Moeda 2" xfId="96" xr:uid="{00000000-0005-0000-0000-000060000000}"/>
    <cellStyle name="Moeda 3" xfId="97" xr:uid="{00000000-0005-0000-0000-000061000000}"/>
    <cellStyle name="Neutra 2" xfId="98" xr:uid="{00000000-0005-0000-0000-000062000000}"/>
    <cellStyle name="Neutral" xfId="99" xr:uid="{00000000-0005-0000-0000-000063000000}"/>
    <cellStyle name="Normal" xfId="0" builtinId="0"/>
    <cellStyle name="Normal 2" xfId="100" xr:uid="{00000000-0005-0000-0000-000065000000}"/>
    <cellStyle name="Normal 2 2" xfId="101" xr:uid="{00000000-0005-0000-0000-000066000000}"/>
    <cellStyle name="Normal 2 3" xfId="102" xr:uid="{00000000-0005-0000-0000-000067000000}"/>
    <cellStyle name="Normal 2 3 2" xfId="103" xr:uid="{00000000-0005-0000-0000-000068000000}"/>
    <cellStyle name="Normal 2 3 3" xfId="104" xr:uid="{00000000-0005-0000-0000-000069000000}"/>
    <cellStyle name="Normal 21" xfId="105" xr:uid="{00000000-0005-0000-0000-00006A000000}"/>
    <cellStyle name="Normal 23" xfId="106" xr:uid="{00000000-0005-0000-0000-00006B000000}"/>
    <cellStyle name="Normal 25" xfId="107" xr:uid="{00000000-0005-0000-0000-00006C000000}"/>
    <cellStyle name="Normal 3" xfId="108" xr:uid="{00000000-0005-0000-0000-00006D000000}"/>
    <cellStyle name="Normal 4" xfId="109" xr:uid="{00000000-0005-0000-0000-00006E000000}"/>
    <cellStyle name="Normal 5" xfId="110" xr:uid="{00000000-0005-0000-0000-00006F000000}"/>
    <cellStyle name="Nota" xfId="111" builtinId="10" customBuiltin="1"/>
    <cellStyle name="Nota 2" xfId="112" xr:uid="{00000000-0005-0000-0000-000071000000}"/>
    <cellStyle name="Nota 2 2" xfId="113" xr:uid="{00000000-0005-0000-0000-000072000000}"/>
    <cellStyle name="Nota 2 3" xfId="114" xr:uid="{00000000-0005-0000-0000-000073000000}"/>
    <cellStyle name="Nota 2 3 2" xfId="115" xr:uid="{00000000-0005-0000-0000-000074000000}"/>
    <cellStyle name="Nota 2 3 3" xfId="116" xr:uid="{00000000-0005-0000-0000-000075000000}"/>
    <cellStyle name="Nota 3" xfId="117" xr:uid="{00000000-0005-0000-0000-000076000000}"/>
    <cellStyle name="Nota 4" xfId="118" xr:uid="{00000000-0005-0000-0000-000077000000}"/>
    <cellStyle name="Nota 5" xfId="119" xr:uid="{00000000-0005-0000-0000-000078000000}"/>
    <cellStyle name="Note" xfId="120" xr:uid="{00000000-0005-0000-0000-000079000000}"/>
    <cellStyle name="Output" xfId="121" xr:uid="{00000000-0005-0000-0000-00007A000000}"/>
    <cellStyle name="Porcentagem 2" xfId="122" xr:uid="{00000000-0005-0000-0000-00007C000000}"/>
    <cellStyle name="Porcentagem 3" xfId="123" xr:uid="{00000000-0005-0000-0000-00007D000000}"/>
    <cellStyle name="Saída" xfId="124" builtinId="21" customBuiltin="1"/>
    <cellStyle name="Saída 2" xfId="125" xr:uid="{00000000-0005-0000-0000-00007F000000}"/>
    <cellStyle name="Texto de Aviso" xfId="126" builtinId="11" customBuiltin="1"/>
    <cellStyle name="Texto de Aviso 2" xfId="127" xr:uid="{00000000-0005-0000-0000-000081000000}"/>
    <cellStyle name="Texto Explicativo" xfId="128" builtinId="53" customBuiltin="1"/>
    <cellStyle name="Texto Explicativo 2" xfId="129" xr:uid="{00000000-0005-0000-0000-000083000000}"/>
    <cellStyle name="Title" xfId="130" xr:uid="{00000000-0005-0000-0000-000084000000}"/>
    <cellStyle name="Título" xfId="131" builtinId="15" customBuiltin="1"/>
    <cellStyle name="Título 1" xfId="132" builtinId="16" customBuiltin="1"/>
    <cellStyle name="Título 1 2" xfId="133" xr:uid="{00000000-0005-0000-0000-000087000000}"/>
    <cellStyle name="Título 2" xfId="134" builtinId="17" customBuiltin="1"/>
    <cellStyle name="Título 2 2" xfId="135" xr:uid="{00000000-0005-0000-0000-000089000000}"/>
    <cellStyle name="Título 3" xfId="136" builtinId="18" customBuiltin="1"/>
    <cellStyle name="Título 3 2" xfId="137" xr:uid="{00000000-0005-0000-0000-00008B000000}"/>
    <cellStyle name="Título 4" xfId="138" builtinId="19" customBuiltin="1"/>
    <cellStyle name="Título 4 2" xfId="139" xr:uid="{00000000-0005-0000-0000-00008D000000}"/>
    <cellStyle name="Título 5" xfId="140" xr:uid="{00000000-0005-0000-0000-00008E000000}"/>
    <cellStyle name="Total" xfId="141" builtinId="25" customBuiltin="1"/>
    <cellStyle name="Total 2" xfId="142" xr:uid="{00000000-0005-0000-0000-000090000000}"/>
    <cellStyle name="Vírgula" xfId="143" builtinId="3"/>
    <cellStyle name="Vírgula 2" xfId="144" xr:uid="{00000000-0005-0000-0000-000092000000}"/>
    <cellStyle name="Vírgula 4 2" xfId="145" xr:uid="{00000000-0005-0000-0000-000093000000}"/>
    <cellStyle name="Warning Text" xfId="146" xr:uid="{00000000-0005-0000-0000-000094000000}"/>
  </cellStyles>
  <dxfs count="0"/>
  <tableStyles count="0" defaultTableStyle="TableStyleMedium2" defaultPivotStyle="PivotStyleLight16"/>
  <colors>
    <mruColors>
      <color rgb="FF339933"/>
      <color rgb="FFEDDE83"/>
      <color rgb="FFF2C23C"/>
      <color rgb="FFF4933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DE76CD-D7BB-425F-AEE3-E13C4CE1522A}">
  <dimension ref="B1:R190"/>
  <sheetViews>
    <sheetView tabSelected="1" workbookViewId="0">
      <selection activeCell="M197" sqref="M197"/>
    </sheetView>
  </sheetViews>
  <sheetFormatPr defaultRowHeight="15" x14ac:dyDescent="0.25"/>
  <cols>
    <col min="2" max="2" width="14" customWidth="1"/>
    <col min="3" max="3" width="14.85546875" bestFit="1" customWidth="1"/>
    <col min="4" max="4" width="17.140625" customWidth="1"/>
    <col min="5" max="5" width="77.7109375" customWidth="1"/>
    <col min="6" max="6" width="7.140625" customWidth="1"/>
    <col min="7" max="7" width="11.7109375" customWidth="1"/>
    <col min="8" max="8" width="10" customWidth="1"/>
    <col min="9" max="9" width="10.28515625" customWidth="1"/>
    <col min="10" max="11" width="10.42578125" customWidth="1"/>
    <col min="12" max="15" width="19" customWidth="1"/>
    <col min="16" max="16" width="19.42578125" customWidth="1"/>
    <col min="17" max="17" width="15.42578125" customWidth="1"/>
    <col min="18" max="18" width="21" customWidth="1"/>
  </cols>
  <sheetData>
    <row r="1" spans="2:18" ht="20.25" customHeight="1" x14ac:dyDescent="0.25">
      <c r="B1" s="153" t="s">
        <v>84</v>
      </c>
      <c r="C1" s="154"/>
      <c r="D1" s="154"/>
      <c r="E1" s="154"/>
      <c r="F1" s="154"/>
      <c r="G1" s="154"/>
      <c r="H1" s="154"/>
      <c r="I1" s="154"/>
      <c r="J1" s="154"/>
      <c r="K1" s="154"/>
      <c r="L1" s="154"/>
      <c r="M1" s="154"/>
      <c r="N1" s="154"/>
      <c r="O1" s="154"/>
      <c r="P1" s="154"/>
      <c r="Q1" s="154"/>
      <c r="R1" s="155"/>
    </row>
    <row r="2" spans="2:18" ht="15" customHeight="1" x14ac:dyDescent="0.25">
      <c r="B2" s="156" t="s">
        <v>174</v>
      </c>
      <c r="C2" s="157"/>
      <c r="D2" s="157"/>
      <c r="E2" s="157"/>
      <c r="F2" s="157"/>
      <c r="G2" s="157"/>
      <c r="H2" s="157"/>
      <c r="I2" s="157"/>
      <c r="J2" s="157"/>
      <c r="K2" s="157"/>
      <c r="L2" s="157"/>
      <c r="M2" s="157"/>
      <c r="N2" s="157"/>
      <c r="O2" s="157"/>
      <c r="P2" s="157"/>
      <c r="Q2" s="157"/>
      <c r="R2" s="158"/>
    </row>
    <row r="3" spans="2:18" ht="15" customHeight="1" x14ac:dyDescent="0.25">
      <c r="B3" s="156"/>
      <c r="C3" s="157"/>
      <c r="D3" s="157"/>
      <c r="E3" s="157"/>
      <c r="F3" s="157"/>
      <c r="G3" s="157"/>
      <c r="H3" s="157"/>
      <c r="I3" s="157"/>
      <c r="J3" s="157"/>
      <c r="K3" s="157"/>
      <c r="L3" s="157"/>
      <c r="M3" s="157"/>
      <c r="N3" s="157"/>
      <c r="O3" s="157"/>
      <c r="P3" s="157"/>
      <c r="Q3" s="157"/>
      <c r="R3" s="158"/>
    </row>
    <row r="4" spans="2:18" ht="15" customHeight="1" x14ac:dyDescent="0.25">
      <c r="B4" s="156"/>
      <c r="C4" s="157"/>
      <c r="D4" s="157"/>
      <c r="E4" s="157"/>
      <c r="F4" s="157"/>
      <c r="G4" s="157"/>
      <c r="H4" s="157"/>
      <c r="I4" s="157"/>
      <c r="J4" s="157"/>
      <c r="K4" s="157"/>
      <c r="L4" s="157"/>
      <c r="M4" s="157"/>
      <c r="N4" s="157"/>
      <c r="O4" s="157"/>
      <c r="P4" s="157"/>
      <c r="Q4" s="157"/>
      <c r="R4" s="158"/>
    </row>
    <row r="5" spans="2:18" ht="15" customHeight="1" x14ac:dyDescent="0.25">
      <c r="B5" s="159"/>
      <c r="C5" s="160"/>
      <c r="D5" s="160"/>
      <c r="E5" s="157"/>
      <c r="F5" s="157"/>
      <c r="G5" s="157"/>
      <c r="H5" s="157"/>
      <c r="I5" s="157"/>
      <c r="J5" s="157"/>
      <c r="K5" s="157"/>
      <c r="L5" s="157"/>
      <c r="M5" s="157"/>
      <c r="N5" s="157"/>
      <c r="O5" s="157"/>
      <c r="P5" s="157"/>
      <c r="Q5" s="157"/>
      <c r="R5" s="158"/>
    </row>
    <row r="6" spans="2:18" x14ac:dyDescent="0.25">
      <c r="B6" s="51"/>
      <c r="C6" s="61"/>
      <c r="D6" s="91" t="s">
        <v>7</v>
      </c>
      <c r="E6" s="8" t="s">
        <v>135</v>
      </c>
      <c r="F6" s="9"/>
      <c r="G6" s="10"/>
      <c r="H6" s="10"/>
      <c r="I6" s="11"/>
      <c r="J6" s="7"/>
      <c r="K6" s="7"/>
      <c r="L6" s="93"/>
      <c r="M6" s="93"/>
      <c r="N6" s="7"/>
      <c r="O6" s="7"/>
      <c r="P6" s="12"/>
      <c r="Q6" s="13"/>
      <c r="R6" s="114"/>
    </row>
    <row r="7" spans="2:18" x14ac:dyDescent="0.25">
      <c r="B7" s="52"/>
      <c r="C7" s="61"/>
      <c r="D7" s="91" t="s">
        <v>8</v>
      </c>
      <c r="E7" s="8" t="s">
        <v>137</v>
      </c>
      <c r="F7" s="9"/>
      <c r="G7" s="14"/>
      <c r="H7" s="14"/>
      <c r="I7" s="11"/>
      <c r="J7" s="7"/>
      <c r="K7" s="7"/>
      <c r="L7" s="11"/>
      <c r="M7" s="11"/>
      <c r="N7" s="7"/>
      <c r="O7" s="7"/>
      <c r="P7" s="12" t="s">
        <v>9</v>
      </c>
      <c r="Q7" s="2">
        <v>0.22689999999999999</v>
      </c>
      <c r="R7" s="3"/>
    </row>
    <row r="8" spans="2:18" x14ac:dyDescent="0.25">
      <c r="B8" s="53"/>
      <c r="C8" s="61"/>
      <c r="D8" s="91" t="s">
        <v>10</v>
      </c>
      <c r="E8" s="8" t="s">
        <v>136</v>
      </c>
      <c r="F8" s="1"/>
      <c r="G8" s="1"/>
      <c r="H8" s="1"/>
      <c r="I8" s="11"/>
      <c r="J8" s="7"/>
      <c r="K8" s="7"/>
      <c r="L8" s="11"/>
      <c r="M8" s="11"/>
      <c r="N8" s="7"/>
      <c r="O8" s="7"/>
      <c r="P8" s="12" t="s">
        <v>71</v>
      </c>
      <c r="Q8" s="2">
        <v>0.15279999999999999</v>
      </c>
      <c r="R8" s="3"/>
    </row>
    <row r="9" spans="2:18" ht="15.75" thickBot="1" x14ac:dyDescent="0.3">
      <c r="B9" s="54"/>
      <c r="C9" s="62"/>
      <c r="D9" s="92" t="s">
        <v>11</v>
      </c>
      <c r="E9" s="15">
        <v>572.15</v>
      </c>
      <c r="F9" s="4"/>
      <c r="G9" s="4"/>
      <c r="H9" s="4"/>
      <c r="I9" s="16"/>
      <c r="J9" s="17"/>
      <c r="K9" s="17"/>
      <c r="L9" s="16"/>
      <c r="M9" s="16"/>
      <c r="N9" s="17"/>
      <c r="O9" s="17"/>
      <c r="P9" s="18" t="s">
        <v>6</v>
      </c>
      <c r="Q9" s="19">
        <v>45292</v>
      </c>
      <c r="R9" s="120"/>
    </row>
    <row r="10" spans="2:18" ht="15.75" thickBot="1" x14ac:dyDescent="0.3">
      <c r="B10" s="55"/>
      <c r="C10" s="63"/>
      <c r="D10" s="20"/>
      <c r="E10" s="21"/>
      <c r="F10" s="21"/>
      <c r="G10" s="21"/>
      <c r="H10" s="21"/>
      <c r="I10" s="22"/>
      <c r="J10" s="6"/>
      <c r="K10" s="6"/>
      <c r="L10" s="22"/>
      <c r="M10" s="22"/>
      <c r="N10" s="6"/>
      <c r="O10" s="6"/>
      <c r="P10" s="23"/>
      <c r="Q10" s="5"/>
      <c r="R10" s="5"/>
    </row>
    <row r="11" spans="2:18" ht="15" customHeight="1" x14ac:dyDescent="0.25">
      <c r="B11" s="167" t="s">
        <v>27</v>
      </c>
      <c r="C11" s="169" t="s">
        <v>28</v>
      </c>
      <c r="D11" s="162" t="s">
        <v>38</v>
      </c>
      <c r="E11" s="151" t="s">
        <v>29</v>
      </c>
      <c r="F11" s="151" t="s">
        <v>4</v>
      </c>
      <c r="G11" s="151" t="s">
        <v>61</v>
      </c>
      <c r="H11" s="44"/>
      <c r="I11" s="164" t="s">
        <v>12</v>
      </c>
      <c r="J11" s="165"/>
      <c r="K11" s="166"/>
      <c r="L11" s="164" t="s">
        <v>37</v>
      </c>
      <c r="M11" s="165"/>
      <c r="N11" s="165"/>
      <c r="O11" s="165"/>
      <c r="P11" s="166"/>
      <c r="Q11" s="151" t="s">
        <v>5</v>
      </c>
      <c r="R11" s="143" t="s">
        <v>16</v>
      </c>
    </row>
    <row r="12" spans="2:18" ht="39" thickBot="1" x14ac:dyDescent="0.3">
      <c r="B12" s="168"/>
      <c r="C12" s="170"/>
      <c r="D12" s="163"/>
      <c r="E12" s="152"/>
      <c r="F12" s="152"/>
      <c r="G12" s="161"/>
      <c r="H12" s="45" t="s">
        <v>62</v>
      </c>
      <c r="I12" s="46" t="s">
        <v>13</v>
      </c>
      <c r="J12" s="46" t="s">
        <v>14</v>
      </c>
      <c r="K12" s="46" t="s">
        <v>15</v>
      </c>
      <c r="L12" s="46" t="s">
        <v>13</v>
      </c>
      <c r="M12" s="123" t="s">
        <v>348</v>
      </c>
      <c r="N12" s="46" t="s">
        <v>14</v>
      </c>
      <c r="O12" s="123" t="s">
        <v>347</v>
      </c>
      <c r="P12" s="46" t="s">
        <v>15</v>
      </c>
      <c r="Q12" s="152"/>
      <c r="R12" s="144"/>
    </row>
    <row r="13" spans="2:18" x14ac:dyDescent="0.25">
      <c r="B13" s="56"/>
      <c r="C13" s="64"/>
      <c r="D13" s="38"/>
      <c r="E13" s="39"/>
      <c r="F13" s="39"/>
      <c r="G13" s="39"/>
      <c r="H13" s="39"/>
      <c r="I13" s="39"/>
      <c r="J13" s="39"/>
      <c r="K13" s="39"/>
      <c r="L13" s="39"/>
      <c r="M13" s="124"/>
      <c r="N13" s="39"/>
      <c r="O13" s="124"/>
      <c r="P13" s="39"/>
      <c r="Q13" s="39"/>
      <c r="R13" s="40"/>
    </row>
    <row r="14" spans="2:18" x14ac:dyDescent="0.25">
      <c r="B14" s="57"/>
      <c r="C14" s="65"/>
      <c r="D14" s="28">
        <v>1</v>
      </c>
      <c r="E14" s="29" t="s">
        <v>30</v>
      </c>
      <c r="F14" s="29"/>
      <c r="G14" s="29"/>
      <c r="H14" s="29"/>
      <c r="I14" s="29"/>
      <c r="J14" s="29"/>
      <c r="K14" s="29"/>
      <c r="L14" s="29"/>
      <c r="M14" s="125"/>
      <c r="N14" s="29"/>
      <c r="O14" s="125"/>
      <c r="P14" s="29"/>
      <c r="Q14" s="29"/>
      <c r="R14" s="41">
        <v>81333.859449890311</v>
      </c>
    </row>
    <row r="15" spans="2:18" x14ac:dyDescent="0.25">
      <c r="B15" s="69" t="s">
        <v>21</v>
      </c>
      <c r="C15" s="70">
        <v>93565</v>
      </c>
      <c r="D15" s="71" t="s">
        <v>17</v>
      </c>
      <c r="E15" s="72" t="s">
        <v>64</v>
      </c>
      <c r="F15" s="73" t="s">
        <v>31</v>
      </c>
      <c r="G15" s="76">
        <v>3</v>
      </c>
      <c r="H15" s="76">
        <v>10719.834999999999</v>
      </c>
      <c r="I15" s="76">
        <v>0</v>
      </c>
      <c r="J15" s="76">
        <v>8937.0695049120004</v>
      </c>
      <c r="K15" s="76">
        <v>8937.0695049120004</v>
      </c>
      <c r="L15" s="74">
        <v>0</v>
      </c>
      <c r="M15" s="126">
        <f>IF(L15&lt;&gt;0,L15*(1+$Q$7),0)</f>
        <v>0</v>
      </c>
      <c r="N15" s="74">
        <v>26811.208514736001</v>
      </c>
      <c r="O15" s="126">
        <f>IF(N15&lt;&gt;0,N15*(1+$Q$7),0)</f>
        <v>32894.671726729604</v>
      </c>
      <c r="P15" s="74">
        <v>26811.208514736001</v>
      </c>
      <c r="Q15" s="74">
        <v>6083.4632119935986</v>
      </c>
      <c r="R15" s="75">
        <v>32894.671726729597</v>
      </c>
    </row>
    <row r="16" spans="2:18" x14ac:dyDescent="0.25">
      <c r="B16" s="69" t="s">
        <v>21</v>
      </c>
      <c r="C16" s="70">
        <v>94295</v>
      </c>
      <c r="D16" s="71" t="s">
        <v>63</v>
      </c>
      <c r="E16" s="72" t="s">
        <v>46</v>
      </c>
      <c r="F16" s="73" t="s">
        <v>31</v>
      </c>
      <c r="G16" s="76">
        <v>3</v>
      </c>
      <c r="H16" s="76" t="s">
        <v>345</v>
      </c>
      <c r="I16" s="76">
        <v>0</v>
      </c>
      <c r="J16" s="76">
        <v>9658.6736062769996</v>
      </c>
      <c r="K16" s="76">
        <v>9658.6736062769996</v>
      </c>
      <c r="L16" s="74">
        <v>0</v>
      </c>
      <c r="M16" s="126">
        <f t="shared" ref="M16:M79" si="0">IF(L16&lt;&gt;0,L16*(1+$Q$7),0)</f>
        <v>0</v>
      </c>
      <c r="N16" s="74">
        <v>28976.020818830999</v>
      </c>
      <c r="O16" s="126">
        <f t="shared" ref="O16:O79" si="1">IF(N16&lt;&gt;0,N16*(1+$Q$7),0)</f>
        <v>35550.679942623756</v>
      </c>
      <c r="P16" s="74">
        <v>28976.020818830999</v>
      </c>
      <c r="Q16" s="74">
        <v>6574.6591237927532</v>
      </c>
      <c r="R16" s="75">
        <v>35550.679942623756</v>
      </c>
    </row>
    <row r="17" spans="2:18" x14ac:dyDescent="0.25">
      <c r="B17" s="69" t="s">
        <v>21</v>
      </c>
      <c r="C17" s="70">
        <v>100321</v>
      </c>
      <c r="D17" s="71"/>
      <c r="E17" s="72" t="s">
        <v>85</v>
      </c>
      <c r="F17" s="73" t="s">
        <v>31</v>
      </c>
      <c r="G17" s="76">
        <v>2</v>
      </c>
      <c r="H17" s="76">
        <v>3255.8850000000002</v>
      </c>
      <c r="I17" s="76">
        <v>0</v>
      </c>
      <c r="J17" s="76">
        <v>2714.4169344269999</v>
      </c>
      <c r="K17" s="76">
        <v>2714.4169344269999</v>
      </c>
      <c r="L17" s="74">
        <v>0</v>
      </c>
      <c r="M17" s="126">
        <f t="shared" si="0"/>
        <v>0</v>
      </c>
      <c r="N17" s="74">
        <v>5428.8338688539998</v>
      </c>
      <c r="O17" s="126">
        <f t="shared" si="1"/>
        <v>6660.6362736969731</v>
      </c>
      <c r="P17" s="74">
        <v>5428.8338688539998</v>
      </c>
      <c r="Q17" s="74">
        <v>1231.8024048429725</v>
      </c>
      <c r="R17" s="75">
        <v>6660.6362736969722</v>
      </c>
    </row>
    <row r="18" spans="2:18" ht="25.5" x14ac:dyDescent="0.25">
      <c r="B18" s="69" t="s">
        <v>21</v>
      </c>
      <c r="C18" s="70">
        <v>103689</v>
      </c>
      <c r="D18" s="71" t="s">
        <v>45</v>
      </c>
      <c r="E18" s="72" t="s">
        <v>47</v>
      </c>
      <c r="F18" s="73" t="s">
        <v>32</v>
      </c>
      <c r="G18" s="76">
        <v>2</v>
      </c>
      <c r="H18" s="76"/>
      <c r="I18" s="76">
        <v>218.08</v>
      </c>
      <c r="J18" s="76">
        <v>46.15</v>
      </c>
      <c r="K18" s="76">
        <v>264.23</v>
      </c>
      <c r="L18" s="74">
        <v>436.16</v>
      </c>
      <c r="M18" s="126">
        <f t="shared" si="0"/>
        <v>535.12470400000007</v>
      </c>
      <c r="N18" s="74">
        <v>92.3</v>
      </c>
      <c r="O18" s="126">
        <f t="shared" si="1"/>
        <v>113.24287000000001</v>
      </c>
      <c r="P18" s="74">
        <v>528.46</v>
      </c>
      <c r="Q18" s="74">
        <v>119.907574</v>
      </c>
      <c r="R18" s="75">
        <v>648.36757399999999</v>
      </c>
    </row>
    <row r="19" spans="2:18" x14ac:dyDescent="0.25">
      <c r="B19" s="69" t="s">
        <v>23</v>
      </c>
      <c r="C19" s="70"/>
      <c r="D19" s="71" t="s">
        <v>54</v>
      </c>
      <c r="E19" s="72" t="s">
        <v>346</v>
      </c>
      <c r="F19" s="73" t="s">
        <v>24</v>
      </c>
      <c r="G19" s="76">
        <v>12</v>
      </c>
      <c r="H19" s="76"/>
      <c r="I19" s="76">
        <v>0</v>
      </c>
      <c r="J19" s="76">
        <v>275.12</v>
      </c>
      <c r="K19" s="76">
        <v>275.12</v>
      </c>
      <c r="L19" s="74">
        <v>0</v>
      </c>
      <c r="M19" s="126">
        <f t="shared" si="0"/>
        <v>0</v>
      </c>
      <c r="N19" s="74">
        <v>3301.44</v>
      </c>
      <c r="O19" s="126">
        <f t="shared" si="1"/>
        <v>4050.5367360000005</v>
      </c>
      <c r="P19" s="74">
        <v>3301.44</v>
      </c>
      <c r="Q19" s="74">
        <v>749.09673599999996</v>
      </c>
      <c r="R19" s="75">
        <v>4050.536736</v>
      </c>
    </row>
    <row r="20" spans="2:18" ht="25.5" x14ac:dyDescent="0.25">
      <c r="B20" s="69" t="s">
        <v>21</v>
      </c>
      <c r="C20" s="70" t="s">
        <v>66</v>
      </c>
      <c r="D20" s="71" t="s">
        <v>55</v>
      </c>
      <c r="E20" s="72" t="s">
        <v>57</v>
      </c>
      <c r="F20" s="73" t="s">
        <v>44</v>
      </c>
      <c r="G20" s="76">
        <v>3</v>
      </c>
      <c r="H20" s="76"/>
      <c r="I20" s="76">
        <v>161.27000000000001</v>
      </c>
      <c r="J20" s="76">
        <v>0</v>
      </c>
      <c r="K20" s="76">
        <v>161.27000000000001</v>
      </c>
      <c r="L20" s="74">
        <v>483.81000000000006</v>
      </c>
      <c r="M20" s="126">
        <f t="shared" si="0"/>
        <v>593.58648900000014</v>
      </c>
      <c r="N20" s="74">
        <v>0</v>
      </c>
      <c r="O20" s="126">
        <f t="shared" si="1"/>
        <v>0</v>
      </c>
      <c r="P20" s="74">
        <v>483.81000000000006</v>
      </c>
      <c r="Q20" s="74">
        <v>109.77648900000001</v>
      </c>
      <c r="R20" s="75">
        <v>593.58648900000003</v>
      </c>
    </row>
    <row r="21" spans="2:18" ht="25.5" x14ac:dyDescent="0.25">
      <c r="B21" s="69" t="s">
        <v>21</v>
      </c>
      <c r="C21" s="70">
        <v>97063</v>
      </c>
      <c r="D21" s="71" t="s">
        <v>86</v>
      </c>
      <c r="E21" s="72" t="s">
        <v>72</v>
      </c>
      <c r="F21" s="73" t="s">
        <v>32</v>
      </c>
      <c r="G21" s="76">
        <v>69.11999999999999</v>
      </c>
      <c r="H21" s="76"/>
      <c r="I21" s="76">
        <v>2.29</v>
      </c>
      <c r="J21" s="76">
        <v>8.74</v>
      </c>
      <c r="K21" s="76">
        <v>11.030000000000001</v>
      </c>
      <c r="L21" s="74">
        <v>158.28479999999999</v>
      </c>
      <c r="M21" s="126">
        <f t="shared" si="0"/>
        <v>194.19962112000002</v>
      </c>
      <c r="N21" s="74">
        <v>604.10879999999997</v>
      </c>
      <c r="O21" s="126">
        <f t="shared" si="1"/>
        <v>741.18108672000005</v>
      </c>
      <c r="P21" s="74">
        <v>762.39359999999999</v>
      </c>
      <c r="Q21" s="74">
        <v>172.98710783999999</v>
      </c>
      <c r="R21" s="75">
        <v>935.38070784000001</v>
      </c>
    </row>
    <row r="22" spans="2:18" x14ac:dyDescent="0.25">
      <c r="B22" s="57"/>
      <c r="C22" s="65"/>
      <c r="D22" s="28">
        <v>2</v>
      </c>
      <c r="E22" s="29" t="s">
        <v>141</v>
      </c>
      <c r="F22" s="29"/>
      <c r="G22" s="29"/>
      <c r="H22" s="29"/>
      <c r="I22" s="29"/>
      <c r="J22" s="29"/>
      <c r="K22" s="29"/>
      <c r="L22" s="29"/>
      <c r="M22" s="125">
        <f t="shared" si="0"/>
        <v>0</v>
      </c>
      <c r="N22" s="29"/>
      <c r="O22" s="125">
        <f t="shared" si="1"/>
        <v>0</v>
      </c>
      <c r="P22" s="29"/>
      <c r="Q22" s="29"/>
      <c r="R22" s="41">
        <v>174459.00768925366</v>
      </c>
    </row>
    <row r="23" spans="2:18" x14ac:dyDescent="0.25">
      <c r="B23" s="100"/>
      <c r="C23" s="101"/>
      <c r="D23" s="102" t="s">
        <v>18</v>
      </c>
      <c r="E23" s="103" t="s">
        <v>142</v>
      </c>
      <c r="F23" s="104"/>
      <c r="G23" s="110"/>
      <c r="H23" s="110"/>
      <c r="I23" s="110"/>
      <c r="J23" s="110"/>
      <c r="K23" s="110"/>
      <c r="L23" s="110"/>
      <c r="M23" s="127">
        <f t="shared" si="0"/>
        <v>0</v>
      </c>
      <c r="N23" s="110"/>
      <c r="O23" s="127">
        <f t="shared" si="1"/>
        <v>0</v>
      </c>
      <c r="P23" s="110"/>
      <c r="Q23" s="105"/>
      <c r="R23" s="106">
        <v>9590.0549549749994</v>
      </c>
    </row>
    <row r="24" spans="2:18" x14ac:dyDescent="0.25">
      <c r="B24" s="58"/>
      <c r="C24" s="66"/>
      <c r="D24" s="30"/>
      <c r="E24" s="35" t="s">
        <v>138</v>
      </c>
      <c r="F24" s="27"/>
      <c r="G24" s="87"/>
      <c r="H24" s="87"/>
      <c r="I24" s="87"/>
      <c r="J24" s="87"/>
      <c r="K24" s="87"/>
      <c r="L24" s="87"/>
      <c r="M24" s="127">
        <f t="shared" si="0"/>
        <v>0</v>
      </c>
      <c r="N24" s="87"/>
      <c r="O24" s="127">
        <f t="shared" si="1"/>
        <v>0</v>
      </c>
      <c r="P24" s="87"/>
      <c r="Q24" s="34"/>
      <c r="R24" s="42"/>
    </row>
    <row r="25" spans="2:18" ht="38.25" x14ac:dyDescent="0.25">
      <c r="B25" s="70" t="s">
        <v>21</v>
      </c>
      <c r="C25" s="70">
        <v>97649</v>
      </c>
      <c r="D25" s="71" t="s">
        <v>48</v>
      </c>
      <c r="E25" s="72" t="s">
        <v>140</v>
      </c>
      <c r="F25" s="73" t="s">
        <v>32</v>
      </c>
      <c r="G25" s="76">
        <v>174.78</v>
      </c>
      <c r="H25" s="76"/>
      <c r="I25" s="76">
        <v>0.65</v>
      </c>
      <c r="J25" s="76">
        <v>3.95</v>
      </c>
      <c r="K25" s="76">
        <v>4.6000000000000005</v>
      </c>
      <c r="L25" s="74">
        <v>113.607</v>
      </c>
      <c r="M25" s="126">
        <f t="shared" si="0"/>
        <v>139.38442830000002</v>
      </c>
      <c r="N25" s="74">
        <v>690.38100000000009</v>
      </c>
      <c r="O25" s="126">
        <f t="shared" si="1"/>
        <v>847.02844890000017</v>
      </c>
      <c r="P25" s="74">
        <v>803.98800000000006</v>
      </c>
      <c r="Q25" s="74">
        <v>182.4248772</v>
      </c>
      <c r="R25" s="75">
        <v>986.41287720000003</v>
      </c>
    </row>
    <row r="26" spans="2:18" ht="38.25" x14ac:dyDescent="0.25">
      <c r="B26" s="70" t="s">
        <v>21</v>
      </c>
      <c r="C26" s="70">
        <v>97652</v>
      </c>
      <c r="D26" s="71" t="s">
        <v>78</v>
      </c>
      <c r="E26" s="72" t="s">
        <v>143</v>
      </c>
      <c r="F26" s="73" t="s">
        <v>24</v>
      </c>
      <c r="G26" s="76">
        <v>7</v>
      </c>
      <c r="H26" s="76"/>
      <c r="I26" s="76">
        <v>0</v>
      </c>
      <c r="J26" s="76">
        <v>199.04</v>
      </c>
      <c r="K26" s="76">
        <v>199.04</v>
      </c>
      <c r="L26" s="74">
        <v>0</v>
      </c>
      <c r="M26" s="126">
        <f t="shared" si="0"/>
        <v>0</v>
      </c>
      <c r="N26" s="74">
        <v>1393.28</v>
      </c>
      <c r="O26" s="126">
        <f t="shared" si="1"/>
        <v>1709.4152320000001</v>
      </c>
      <c r="P26" s="74">
        <v>1393.28</v>
      </c>
      <c r="Q26" s="74">
        <v>316.13523199999997</v>
      </c>
      <c r="R26" s="75">
        <v>1709.4152319999998</v>
      </c>
    </row>
    <row r="27" spans="2:18" ht="25.5" x14ac:dyDescent="0.25">
      <c r="B27" s="70" t="s">
        <v>21</v>
      </c>
      <c r="C27" s="70">
        <v>97650</v>
      </c>
      <c r="D27" s="71" t="s">
        <v>96</v>
      </c>
      <c r="E27" s="72" t="s">
        <v>145</v>
      </c>
      <c r="F27" s="73" t="s">
        <v>32</v>
      </c>
      <c r="G27" s="76">
        <v>174.78</v>
      </c>
      <c r="H27" s="76"/>
      <c r="I27" s="76">
        <v>0</v>
      </c>
      <c r="J27" s="76">
        <v>8.06</v>
      </c>
      <c r="K27" s="76">
        <v>8.06</v>
      </c>
      <c r="L27" s="74">
        <v>0</v>
      </c>
      <c r="M27" s="126">
        <f t="shared" si="0"/>
        <v>0</v>
      </c>
      <c r="N27" s="74">
        <v>1408.7268000000001</v>
      </c>
      <c r="O27" s="126">
        <f t="shared" si="1"/>
        <v>1728.3669109200002</v>
      </c>
      <c r="P27" s="74">
        <v>1408.7268000000001</v>
      </c>
      <c r="Q27" s="74">
        <v>319.64011092000004</v>
      </c>
      <c r="R27" s="75">
        <v>1728.3669109200002</v>
      </c>
    </row>
    <row r="28" spans="2:18" ht="25.5" x14ac:dyDescent="0.25">
      <c r="B28" s="67" t="s">
        <v>21</v>
      </c>
      <c r="C28" s="67"/>
      <c r="D28" s="32" t="s">
        <v>97</v>
      </c>
      <c r="E28" s="33" t="s">
        <v>288</v>
      </c>
      <c r="F28" s="31" t="s">
        <v>74</v>
      </c>
      <c r="G28" s="36">
        <v>1</v>
      </c>
      <c r="H28" s="36"/>
      <c r="I28" s="36">
        <v>0</v>
      </c>
      <c r="J28" s="36">
        <v>641.58000000000004</v>
      </c>
      <c r="K28" s="36">
        <v>641.58000000000004</v>
      </c>
      <c r="L28" s="37">
        <v>0</v>
      </c>
      <c r="M28" s="128">
        <f t="shared" si="0"/>
        <v>0</v>
      </c>
      <c r="N28" s="37">
        <v>641.58000000000004</v>
      </c>
      <c r="O28" s="128">
        <f t="shared" si="1"/>
        <v>787.15450200000009</v>
      </c>
      <c r="P28" s="37">
        <v>641.58000000000004</v>
      </c>
      <c r="Q28" s="37">
        <v>145.574502</v>
      </c>
      <c r="R28" s="43">
        <v>787.15450200000009</v>
      </c>
    </row>
    <row r="29" spans="2:18" ht="25.5" x14ac:dyDescent="0.25">
      <c r="B29" s="67" t="s">
        <v>21</v>
      </c>
      <c r="C29" s="67" t="s">
        <v>39</v>
      </c>
      <c r="D29" s="32" t="s">
        <v>147</v>
      </c>
      <c r="E29" s="33" t="s">
        <v>338</v>
      </c>
      <c r="F29" s="31" t="s">
        <v>32</v>
      </c>
      <c r="G29" s="36">
        <v>87.39</v>
      </c>
      <c r="H29" s="36"/>
      <c r="I29" s="36">
        <v>0</v>
      </c>
      <c r="J29" s="36">
        <v>2.99</v>
      </c>
      <c r="K29" s="36">
        <v>2.99</v>
      </c>
      <c r="L29" s="37">
        <v>0</v>
      </c>
      <c r="M29" s="128">
        <f t="shared" si="0"/>
        <v>0</v>
      </c>
      <c r="N29" s="37">
        <v>261.29610000000002</v>
      </c>
      <c r="O29" s="128">
        <f t="shared" si="1"/>
        <v>320.58418509000006</v>
      </c>
      <c r="P29" s="37">
        <v>261.29610000000002</v>
      </c>
      <c r="Q29" s="37">
        <v>59.288085090000003</v>
      </c>
      <c r="R29" s="43">
        <v>320.58418509000001</v>
      </c>
    </row>
    <row r="30" spans="2:18" x14ac:dyDescent="0.25">
      <c r="B30" s="58"/>
      <c r="C30" s="66"/>
      <c r="D30" s="30"/>
      <c r="E30" s="35" t="s">
        <v>139</v>
      </c>
      <c r="F30" s="27"/>
      <c r="G30" s="87"/>
      <c r="H30" s="87"/>
      <c r="I30" s="87"/>
      <c r="J30" s="87"/>
      <c r="K30" s="87"/>
      <c r="L30" s="87"/>
      <c r="M30" s="127">
        <f t="shared" si="0"/>
        <v>0</v>
      </c>
      <c r="N30" s="87"/>
      <c r="O30" s="127">
        <f t="shared" si="1"/>
        <v>0</v>
      </c>
      <c r="P30" s="87"/>
      <c r="Q30" s="34"/>
      <c r="R30" s="42"/>
    </row>
    <row r="31" spans="2:18" ht="25.5" x14ac:dyDescent="0.25">
      <c r="B31" s="70" t="s">
        <v>21</v>
      </c>
      <c r="C31" s="70">
        <v>97649</v>
      </c>
      <c r="D31" s="71" t="s">
        <v>148</v>
      </c>
      <c r="E31" s="72" t="s">
        <v>146</v>
      </c>
      <c r="F31" s="73" t="s">
        <v>32</v>
      </c>
      <c r="G31" s="76">
        <v>148.34</v>
      </c>
      <c r="H31" s="76"/>
      <c r="I31" s="76">
        <v>0.65</v>
      </c>
      <c r="J31" s="76">
        <v>3.95</v>
      </c>
      <c r="K31" s="76">
        <v>4.6000000000000005</v>
      </c>
      <c r="L31" s="74">
        <v>96.421000000000006</v>
      </c>
      <c r="M31" s="126">
        <f t="shared" si="0"/>
        <v>118.29892490000002</v>
      </c>
      <c r="N31" s="74">
        <v>585.94299999999998</v>
      </c>
      <c r="O31" s="126">
        <f t="shared" si="1"/>
        <v>718.89346670000009</v>
      </c>
      <c r="P31" s="74">
        <v>682.36400000000003</v>
      </c>
      <c r="Q31" s="74">
        <v>154.8283916</v>
      </c>
      <c r="R31" s="75">
        <v>837.19239160000006</v>
      </c>
    </row>
    <row r="32" spans="2:18" ht="25.5" x14ac:dyDescent="0.25">
      <c r="B32" s="70" t="s">
        <v>21</v>
      </c>
      <c r="C32" s="70">
        <v>97640</v>
      </c>
      <c r="D32" s="71" t="s">
        <v>260</v>
      </c>
      <c r="E32" s="72" t="s">
        <v>229</v>
      </c>
      <c r="F32" s="73" t="s">
        <v>32</v>
      </c>
      <c r="G32" s="76">
        <v>154.05000000000001</v>
      </c>
      <c r="H32" s="76"/>
      <c r="I32" s="76">
        <v>0</v>
      </c>
      <c r="J32" s="76">
        <v>2.0299999999999998</v>
      </c>
      <c r="K32" s="76">
        <v>2.0299999999999998</v>
      </c>
      <c r="L32" s="74">
        <v>0</v>
      </c>
      <c r="M32" s="126">
        <f t="shared" si="0"/>
        <v>0</v>
      </c>
      <c r="N32" s="74">
        <v>312.72149999999999</v>
      </c>
      <c r="O32" s="126">
        <f t="shared" si="1"/>
        <v>383.67800835000003</v>
      </c>
      <c r="P32" s="74">
        <v>312.72149999999999</v>
      </c>
      <c r="Q32" s="74">
        <v>70.956508349999993</v>
      </c>
      <c r="R32" s="75">
        <v>383.67800834999997</v>
      </c>
    </row>
    <row r="33" spans="2:18" ht="25.5" x14ac:dyDescent="0.25">
      <c r="B33" s="70" t="s">
        <v>21</v>
      </c>
      <c r="C33" s="70">
        <v>97651</v>
      </c>
      <c r="D33" s="71" t="s">
        <v>290</v>
      </c>
      <c r="E33" s="72" t="s">
        <v>144</v>
      </c>
      <c r="F33" s="73" t="s">
        <v>24</v>
      </c>
      <c r="G33" s="76">
        <v>10</v>
      </c>
      <c r="H33" s="76"/>
      <c r="I33" s="76">
        <v>0</v>
      </c>
      <c r="J33" s="76">
        <v>87.8</v>
      </c>
      <c r="K33" s="76">
        <v>87.8</v>
      </c>
      <c r="L33" s="74">
        <v>0</v>
      </c>
      <c r="M33" s="126">
        <f t="shared" si="0"/>
        <v>0</v>
      </c>
      <c r="N33" s="74">
        <v>878</v>
      </c>
      <c r="O33" s="126">
        <f t="shared" si="1"/>
        <v>1077.2182</v>
      </c>
      <c r="P33" s="74">
        <v>878</v>
      </c>
      <c r="Q33" s="74">
        <v>199.2182</v>
      </c>
      <c r="R33" s="75">
        <v>1077.2182</v>
      </c>
    </row>
    <row r="34" spans="2:18" ht="25.5" x14ac:dyDescent="0.25">
      <c r="B34" s="70" t="s">
        <v>21</v>
      </c>
      <c r="C34" s="70">
        <v>97650</v>
      </c>
      <c r="D34" s="71" t="s">
        <v>339</v>
      </c>
      <c r="E34" s="72" t="s">
        <v>145</v>
      </c>
      <c r="F34" s="73" t="s">
        <v>32</v>
      </c>
      <c r="G34" s="76">
        <v>148.34</v>
      </c>
      <c r="H34" s="76"/>
      <c r="I34" s="76">
        <v>0</v>
      </c>
      <c r="J34" s="76">
        <v>8.06</v>
      </c>
      <c r="K34" s="76">
        <v>8.06</v>
      </c>
      <c r="L34" s="74">
        <v>0</v>
      </c>
      <c r="M34" s="126">
        <f t="shared" si="0"/>
        <v>0</v>
      </c>
      <c r="N34" s="74">
        <v>1195.6204</v>
      </c>
      <c r="O34" s="126">
        <f t="shared" si="1"/>
        <v>1466.9066687600002</v>
      </c>
      <c r="P34" s="74">
        <v>1195.6204</v>
      </c>
      <c r="Q34" s="74">
        <v>271.28626875999998</v>
      </c>
      <c r="R34" s="75">
        <v>1466.90666876</v>
      </c>
    </row>
    <row r="35" spans="2:18" ht="25.5" x14ac:dyDescent="0.25">
      <c r="B35" s="67" t="s">
        <v>21</v>
      </c>
      <c r="C35" s="67" t="s">
        <v>39</v>
      </c>
      <c r="D35" s="32" t="s">
        <v>340</v>
      </c>
      <c r="E35" s="33" t="s">
        <v>338</v>
      </c>
      <c r="F35" s="31" t="s">
        <v>32</v>
      </c>
      <c r="G35" s="36">
        <v>79.905000000000001</v>
      </c>
      <c r="H35" s="36"/>
      <c r="I35" s="36">
        <v>0</v>
      </c>
      <c r="J35" s="36">
        <v>2.99</v>
      </c>
      <c r="K35" s="36">
        <v>2.99</v>
      </c>
      <c r="L35" s="37">
        <v>0</v>
      </c>
      <c r="M35" s="128">
        <f t="shared" si="0"/>
        <v>0</v>
      </c>
      <c r="N35" s="37">
        <v>238.91595000000001</v>
      </c>
      <c r="O35" s="128">
        <f t="shared" si="1"/>
        <v>293.12597905500002</v>
      </c>
      <c r="P35" s="37">
        <v>238.91595000000001</v>
      </c>
      <c r="Q35" s="37">
        <v>54.210029055</v>
      </c>
      <c r="R35" s="43">
        <v>293.12597905500002</v>
      </c>
    </row>
    <row r="36" spans="2:18" x14ac:dyDescent="0.25">
      <c r="B36" s="100"/>
      <c r="C36" s="101"/>
      <c r="D36" s="102" t="s">
        <v>1</v>
      </c>
      <c r="E36" s="103" t="s">
        <v>149</v>
      </c>
      <c r="F36" s="104"/>
      <c r="G36" s="110"/>
      <c r="H36" s="110"/>
      <c r="I36" s="110"/>
      <c r="J36" s="110"/>
      <c r="K36" s="110"/>
      <c r="L36" s="110"/>
      <c r="M36" s="127">
        <f t="shared" si="0"/>
        <v>0</v>
      </c>
      <c r="N36" s="110"/>
      <c r="O36" s="127">
        <f t="shared" si="1"/>
        <v>0</v>
      </c>
      <c r="P36" s="110"/>
      <c r="Q36" s="105"/>
      <c r="R36" s="106">
        <v>20882.036298448642</v>
      </c>
    </row>
    <row r="37" spans="2:18" x14ac:dyDescent="0.25">
      <c r="B37" s="77"/>
      <c r="C37" s="78"/>
      <c r="D37" s="79"/>
      <c r="E37" s="35" t="s">
        <v>230</v>
      </c>
      <c r="F37" s="79"/>
      <c r="G37" s="115"/>
      <c r="H37" s="80"/>
      <c r="I37" s="116"/>
      <c r="J37" s="116"/>
      <c r="K37" s="80"/>
      <c r="L37" s="116"/>
      <c r="M37" s="129">
        <f t="shared" si="0"/>
        <v>0</v>
      </c>
      <c r="N37" s="116"/>
      <c r="O37" s="129">
        <f t="shared" si="1"/>
        <v>0</v>
      </c>
      <c r="P37" s="80"/>
      <c r="Q37" s="80"/>
      <c r="R37" s="81"/>
    </row>
    <row r="38" spans="2:18" ht="38.25" x14ac:dyDescent="0.25">
      <c r="B38" s="70" t="s">
        <v>21</v>
      </c>
      <c r="C38" s="70">
        <v>103334</v>
      </c>
      <c r="D38" s="71" t="s">
        <v>49</v>
      </c>
      <c r="E38" s="72" t="s">
        <v>341</v>
      </c>
      <c r="F38" s="73" t="s">
        <v>32</v>
      </c>
      <c r="G38" s="76">
        <v>43.760000000000005</v>
      </c>
      <c r="H38" s="76"/>
      <c r="I38" s="76">
        <v>45.58</v>
      </c>
      <c r="J38" s="76">
        <v>93.18</v>
      </c>
      <c r="K38" s="76">
        <v>138.76</v>
      </c>
      <c r="L38" s="74">
        <v>1994.5808000000002</v>
      </c>
      <c r="M38" s="126">
        <f t="shared" si="0"/>
        <v>2447.1511835200004</v>
      </c>
      <c r="N38" s="74">
        <v>4077.5568000000007</v>
      </c>
      <c r="O38" s="126">
        <f t="shared" si="1"/>
        <v>5002.7544379200017</v>
      </c>
      <c r="P38" s="74">
        <v>6072.1376000000009</v>
      </c>
      <c r="Q38" s="74">
        <v>1377.7680214400002</v>
      </c>
      <c r="R38" s="75">
        <v>7449.9056214400007</v>
      </c>
    </row>
    <row r="39" spans="2:18" x14ac:dyDescent="0.25">
      <c r="B39" s="77"/>
      <c r="C39" s="78"/>
      <c r="D39" s="79"/>
      <c r="E39" s="35" t="s">
        <v>231</v>
      </c>
      <c r="F39" s="79"/>
      <c r="G39" s="115"/>
      <c r="H39" s="80"/>
      <c r="I39" s="116"/>
      <c r="J39" s="116"/>
      <c r="K39" s="80"/>
      <c r="L39" s="116"/>
      <c r="M39" s="129">
        <f t="shared" si="0"/>
        <v>0</v>
      </c>
      <c r="N39" s="116"/>
      <c r="O39" s="129">
        <f t="shared" si="1"/>
        <v>0</v>
      </c>
      <c r="P39" s="80"/>
      <c r="Q39" s="80"/>
      <c r="R39" s="81"/>
    </row>
    <row r="40" spans="2:18" ht="38.25" x14ac:dyDescent="0.25">
      <c r="B40" s="70" t="s">
        <v>21</v>
      </c>
      <c r="C40" s="70">
        <v>92263</v>
      </c>
      <c r="D40" s="71" t="s">
        <v>50</v>
      </c>
      <c r="E40" s="72" t="s">
        <v>151</v>
      </c>
      <c r="F40" s="73" t="s">
        <v>32</v>
      </c>
      <c r="G40" s="76">
        <v>8.4480000000000004</v>
      </c>
      <c r="H40" s="76"/>
      <c r="I40" s="76">
        <v>91.76</v>
      </c>
      <c r="J40" s="76">
        <v>39.64</v>
      </c>
      <c r="K40" s="76">
        <v>131.4</v>
      </c>
      <c r="L40" s="74">
        <v>775.18848000000003</v>
      </c>
      <c r="M40" s="126">
        <f t="shared" si="0"/>
        <v>951.07874611200009</v>
      </c>
      <c r="N40" s="74">
        <v>334.87872000000004</v>
      </c>
      <c r="O40" s="126">
        <f t="shared" si="1"/>
        <v>410.86270156800009</v>
      </c>
      <c r="P40" s="74">
        <v>1110.0672</v>
      </c>
      <c r="Q40" s="74">
        <v>251.87424767999997</v>
      </c>
      <c r="R40" s="75">
        <v>1361.94144768</v>
      </c>
    </row>
    <row r="41" spans="2:18" ht="38.25" x14ac:dyDescent="0.25">
      <c r="B41" s="70" t="s">
        <v>21</v>
      </c>
      <c r="C41" s="70">
        <v>92265</v>
      </c>
      <c r="D41" s="71" t="s">
        <v>79</v>
      </c>
      <c r="E41" s="72" t="s">
        <v>150</v>
      </c>
      <c r="F41" s="73" t="s">
        <v>32</v>
      </c>
      <c r="G41" s="76">
        <v>26.256</v>
      </c>
      <c r="H41" s="76"/>
      <c r="I41" s="76">
        <v>66.62</v>
      </c>
      <c r="J41" s="76">
        <v>30.81</v>
      </c>
      <c r="K41" s="76">
        <v>97.43</v>
      </c>
      <c r="L41" s="74">
        <v>1749.1747200000002</v>
      </c>
      <c r="M41" s="126">
        <f t="shared" si="0"/>
        <v>2146.0624639680004</v>
      </c>
      <c r="N41" s="74">
        <v>808.94736</v>
      </c>
      <c r="O41" s="126">
        <f t="shared" si="1"/>
        <v>992.49751598400007</v>
      </c>
      <c r="P41" s="74">
        <v>2558.1220800000001</v>
      </c>
      <c r="Q41" s="74">
        <v>580.43789995199995</v>
      </c>
      <c r="R41" s="75">
        <v>3138.559979952</v>
      </c>
    </row>
    <row r="42" spans="2:18" x14ac:dyDescent="0.25">
      <c r="B42" s="77"/>
      <c r="C42" s="78"/>
      <c r="D42" s="79"/>
      <c r="E42" s="35" t="s">
        <v>232</v>
      </c>
      <c r="F42" s="79"/>
      <c r="G42" s="115"/>
      <c r="H42" s="80"/>
      <c r="I42" s="116"/>
      <c r="J42" s="116"/>
      <c r="K42" s="80"/>
      <c r="L42" s="116"/>
      <c r="M42" s="129">
        <f t="shared" si="0"/>
        <v>0</v>
      </c>
      <c r="N42" s="116"/>
      <c r="O42" s="129">
        <f t="shared" si="1"/>
        <v>0</v>
      </c>
      <c r="P42" s="80"/>
      <c r="Q42" s="80"/>
      <c r="R42" s="81"/>
    </row>
    <row r="43" spans="2:18" ht="38.25" x14ac:dyDescent="0.25">
      <c r="B43" s="70"/>
      <c r="C43" s="70" t="s">
        <v>39</v>
      </c>
      <c r="D43" s="71" t="s">
        <v>152</v>
      </c>
      <c r="E43" s="72" t="s">
        <v>181</v>
      </c>
      <c r="F43" s="73" t="s">
        <v>34</v>
      </c>
      <c r="G43" s="76">
        <v>72.300000000000011</v>
      </c>
      <c r="H43" s="76"/>
      <c r="I43" s="76">
        <v>17.899999999999999</v>
      </c>
      <c r="J43" s="76">
        <v>3.87</v>
      </c>
      <c r="K43" s="76">
        <v>21.77</v>
      </c>
      <c r="L43" s="74">
        <v>1294.17</v>
      </c>
      <c r="M43" s="126">
        <f t="shared" si="0"/>
        <v>1587.8171730000001</v>
      </c>
      <c r="N43" s="74">
        <v>279.80100000000004</v>
      </c>
      <c r="O43" s="126">
        <f t="shared" si="1"/>
        <v>343.28784690000009</v>
      </c>
      <c r="P43" s="74">
        <v>1573.971</v>
      </c>
      <c r="Q43" s="74">
        <v>357.1340199</v>
      </c>
      <c r="R43" s="75">
        <v>1931.1050199000001</v>
      </c>
    </row>
    <row r="44" spans="2:18" x14ac:dyDescent="0.25">
      <c r="B44" s="77"/>
      <c r="C44" s="78"/>
      <c r="D44" s="79"/>
      <c r="E44" s="35" t="s">
        <v>233</v>
      </c>
      <c r="F44" s="79"/>
      <c r="G44" s="115"/>
      <c r="H44" s="80"/>
      <c r="I44" s="116"/>
      <c r="J44" s="116"/>
      <c r="K44" s="80"/>
      <c r="L44" s="116"/>
      <c r="M44" s="129">
        <f t="shared" si="0"/>
        <v>0</v>
      </c>
      <c r="N44" s="116"/>
      <c r="O44" s="129">
        <f t="shared" si="1"/>
        <v>0</v>
      </c>
      <c r="P44" s="80"/>
      <c r="Q44" s="80"/>
      <c r="R44" s="81"/>
    </row>
    <row r="45" spans="2:18" ht="38.25" x14ac:dyDescent="0.25">
      <c r="B45" s="70" t="s">
        <v>21</v>
      </c>
      <c r="C45" s="70">
        <v>103669</v>
      </c>
      <c r="D45" s="71" t="s">
        <v>154</v>
      </c>
      <c r="E45" s="72" t="s">
        <v>182</v>
      </c>
      <c r="F45" s="73" t="s">
        <v>33</v>
      </c>
      <c r="G45" s="76">
        <v>1.8765600000000004</v>
      </c>
      <c r="H45" s="76"/>
      <c r="I45" s="76">
        <v>537.62</v>
      </c>
      <c r="J45" s="76">
        <v>236.64</v>
      </c>
      <c r="K45" s="76">
        <v>774.26</v>
      </c>
      <c r="L45" s="74">
        <v>1008.8761872000002</v>
      </c>
      <c r="M45" s="126">
        <f t="shared" si="0"/>
        <v>1237.7901940756803</v>
      </c>
      <c r="N45" s="74">
        <v>444.06915840000011</v>
      </c>
      <c r="O45" s="126">
        <f t="shared" si="1"/>
        <v>544.82845044096018</v>
      </c>
      <c r="P45" s="74">
        <v>1452.9453456000003</v>
      </c>
      <c r="Q45" s="74">
        <v>329.67329891664008</v>
      </c>
      <c r="R45" s="75">
        <v>1782.6186445166404</v>
      </c>
    </row>
    <row r="46" spans="2:18" x14ac:dyDescent="0.25">
      <c r="B46" s="77"/>
      <c r="C46" s="78"/>
      <c r="D46" s="79"/>
      <c r="E46" s="35" t="s">
        <v>234</v>
      </c>
      <c r="F46" s="79"/>
      <c r="G46" s="115"/>
      <c r="H46" s="80"/>
      <c r="I46" s="116"/>
      <c r="J46" s="116"/>
      <c r="K46" s="80"/>
      <c r="L46" s="116"/>
      <c r="M46" s="129">
        <f t="shared" si="0"/>
        <v>0</v>
      </c>
      <c r="N46" s="116"/>
      <c r="O46" s="129">
        <f t="shared" si="1"/>
        <v>0</v>
      </c>
      <c r="P46" s="80"/>
      <c r="Q46" s="80"/>
      <c r="R46" s="81"/>
    </row>
    <row r="47" spans="2:18" ht="25.5" x14ac:dyDescent="0.25">
      <c r="B47" s="69" t="s">
        <v>21</v>
      </c>
      <c r="C47" s="70">
        <v>87893</v>
      </c>
      <c r="D47" s="71" t="s">
        <v>183</v>
      </c>
      <c r="E47" s="72" t="s">
        <v>153</v>
      </c>
      <c r="F47" s="73" t="s">
        <v>32</v>
      </c>
      <c r="G47" s="76">
        <v>87.52000000000001</v>
      </c>
      <c r="H47" s="76"/>
      <c r="I47" s="76">
        <v>2.13</v>
      </c>
      <c r="J47" s="76">
        <v>5.08</v>
      </c>
      <c r="K47" s="76">
        <v>7.21</v>
      </c>
      <c r="L47" s="74">
        <v>186.41760000000002</v>
      </c>
      <c r="M47" s="126">
        <f t="shared" si="0"/>
        <v>228.71575344000004</v>
      </c>
      <c r="N47" s="74">
        <v>444.60160000000008</v>
      </c>
      <c r="O47" s="126">
        <f t="shared" si="1"/>
        <v>545.48170304000018</v>
      </c>
      <c r="P47" s="74">
        <v>631.01920000000007</v>
      </c>
      <c r="Q47" s="74">
        <v>143.17825648000002</v>
      </c>
      <c r="R47" s="75">
        <v>774.19745648000003</v>
      </c>
    </row>
    <row r="48" spans="2:18" ht="38.25" x14ac:dyDescent="0.25">
      <c r="B48" s="69" t="s">
        <v>21</v>
      </c>
      <c r="C48" s="70">
        <v>87548</v>
      </c>
      <c r="D48" s="71" t="s">
        <v>184</v>
      </c>
      <c r="E48" s="72" t="s">
        <v>155</v>
      </c>
      <c r="F48" s="73" t="s">
        <v>32</v>
      </c>
      <c r="G48" s="76">
        <v>87.52000000000001</v>
      </c>
      <c r="H48" s="76"/>
      <c r="I48" s="76">
        <v>12.51</v>
      </c>
      <c r="J48" s="76">
        <v>13</v>
      </c>
      <c r="K48" s="76">
        <v>25.509999999999998</v>
      </c>
      <c r="L48" s="74">
        <v>1094.8752000000002</v>
      </c>
      <c r="M48" s="126">
        <f t="shared" si="0"/>
        <v>1343.3023828800003</v>
      </c>
      <c r="N48" s="74">
        <v>1137.7600000000002</v>
      </c>
      <c r="O48" s="126">
        <f t="shared" si="1"/>
        <v>1395.9177440000003</v>
      </c>
      <c r="P48" s="74">
        <v>2232.6352000000006</v>
      </c>
      <c r="Q48" s="74">
        <v>506.58492688000013</v>
      </c>
      <c r="R48" s="75">
        <v>2739.2201268800009</v>
      </c>
    </row>
    <row r="49" spans="2:18" x14ac:dyDescent="0.25">
      <c r="B49" s="77"/>
      <c r="C49" s="78"/>
      <c r="D49" s="79"/>
      <c r="E49" s="35" t="s">
        <v>237</v>
      </c>
      <c r="F49" s="79"/>
      <c r="G49" s="115"/>
      <c r="H49" s="80"/>
      <c r="I49" s="116"/>
      <c r="J49" s="116"/>
      <c r="K49" s="80"/>
      <c r="L49" s="116"/>
      <c r="M49" s="129">
        <f t="shared" si="0"/>
        <v>0</v>
      </c>
      <c r="N49" s="116"/>
      <c r="O49" s="129">
        <f t="shared" si="1"/>
        <v>0</v>
      </c>
      <c r="P49" s="80"/>
      <c r="Q49" s="80"/>
      <c r="R49" s="81"/>
    </row>
    <row r="50" spans="2:18" ht="25.5" x14ac:dyDescent="0.25">
      <c r="B50" s="69"/>
      <c r="C50" s="70" t="s">
        <v>39</v>
      </c>
      <c r="D50" s="71" t="s">
        <v>238</v>
      </c>
      <c r="E50" s="72" t="s">
        <v>246</v>
      </c>
      <c r="F50" s="73" t="s">
        <v>32</v>
      </c>
      <c r="G50" s="76">
        <v>44.96</v>
      </c>
      <c r="H50" s="76"/>
      <c r="I50" s="76">
        <v>21.92</v>
      </c>
      <c r="J50" s="76">
        <v>8.98</v>
      </c>
      <c r="K50" s="76">
        <v>30.900000000000002</v>
      </c>
      <c r="L50" s="74">
        <v>985.52320000000009</v>
      </c>
      <c r="M50" s="126">
        <f t="shared" si="0"/>
        <v>1209.1384140800003</v>
      </c>
      <c r="N50" s="74">
        <v>403.74080000000004</v>
      </c>
      <c r="O50" s="126">
        <f t="shared" si="1"/>
        <v>495.34958752000006</v>
      </c>
      <c r="P50" s="74">
        <v>1389.2640000000001</v>
      </c>
      <c r="Q50" s="74">
        <v>315.22400160000001</v>
      </c>
      <c r="R50" s="75">
        <v>1704.4880016000002</v>
      </c>
    </row>
    <row r="51" spans="2:18" x14ac:dyDescent="0.25">
      <c r="B51" s="100"/>
      <c r="C51" s="101"/>
      <c r="D51" s="102" t="s">
        <v>19</v>
      </c>
      <c r="E51" s="103" t="s">
        <v>156</v>
      </c>
      <c r="F51" s="104"/>
      <c r="G51" s="110"/>
      <c r="H51" s="110"/>
      <c r="I51" s="110"/>
      <c r="J51" s="110"/>
      <c r="K51" s="110"/>
      <c r="L51" s="110"/>
      <c r="M51" s="127">
        <f t="shared" si="0"/>
        <v>0</v>
      </c>
      <c r="N51" s="110"/>
      <c r="O51" s="127">
        <f t="shared" si="1"/>
        <v>0</v>
      </c>
      <c r="P51" s="110"/>
      <c r="Q51" s="105"/>
      <c r="R51" s="106">
        <v>34467.061841049996</v>
      </c>
    </row>
    <row r="52" spans="2:18" x14ac:dyDescent="0.25">
      <c r="B52" s="58"/>
      <c r="C52" s="66"/>
      <c r="D52" s="30"/>
      <c r="E52" s="35" t="s">
        <v>138</v>
      </c>
      <c r="F52" s="27"/>
      <c r="G52" s="87"/>
      <c r="H52" s="87"/>
      <c r="I52" s="87"/>
      <c r="J52" s="87"/>
      <c r="K52" s="87"/>
      <c r="L52" s="87"/>
      <c r="M52" s="127">
        <f t="shared" si="0"/>
        <v>0</v>
      </c>
      <c r="N52" s="87"/>
      <c r="O52" s="127">
        <f t="shared" si="1"/>
        <v>0</v>
      </c>
      <c r="P52" s="87"/>
      <c r="Q52" s="34"/>
      <c r="R52" s="42"/>
    </row>
    <row r="53" spans="2:18" ht="51" x14ac:dyDescent="0.25">
      <c r="B53" s="70" t="s">
        <v>169</v>
      </c>
      <c r="C53" s="70" t="s">
        <v>271</v>
      </c>
      <c r="D53" s="71" t="s">
        <v>51</v>
      </c>
      <c r="E53" s="72" t="s">
        <v>275</v>
      </c>
      <c r="F53" s="73" t="s">
        <v>35</v>
      </c>
      <c r="G53" s="76">
        <v>3</v>
      </c>
      <c r="H53" s="76"/>
      <c r="I53" s="76">
        <v>2600.83</v>
      </c>
      <c r="J53" s="76">
        <v>86.29</v>
      </c>
      <c r="K53" s="76">
        <v>2687.12</v>
      </c>
      <c r="L53" s="74">
        <v>7802.49</v>
      </c>
      <c r="M53" s="126">
        <f t="shared" si="0"/>
        <v>9572.8749810000008</v>
      </c>
      <c r="N53" s="74">
        <v>258.87</v>
      </c>
      <c r="O53" s="126">
        <f t="shared" si="1"/>
        <v>317.60760300000004</v>
      </c>
      <c r="P53" s="74">
        <v>8061.36</v>
      </c>
      <c r="Q53" s="74">
        <v>1829.122584</v>
      </c>
      <c r="R53" s="75">
        <v>9890.4825839999994</v>
      </c>
    </row>
    <row r="54" spans="2:18" ht="38.25" x14ac:dyDescent="0.25">
      <c r="B54" s="70" t="s">
        <v>169</v>
      </c>
      <c r="C54" s="70" t="s">
        <v>276</v>
      </c>
      <c r="D54" s="71" t="s">
        <v>98</v>
      </c>
      <c r="E54" s="72" t="s">
        <v>157</v>
      </c>
      <c r="F54" s="73" t="s">
        <v>32</v>
      </c>
      <c r="G54" s="76">
        <v>174.78</v>
      </c>
      <c r="H54" s="76"/>
      <c r="I54" s="76">
        <v>27.16</v>
      </c>
      <c r="J54" s="76">
        <v>7.74</v>
      </c>
      <c r="K54" s="76">
        <v>34.9</v>
      </c>
      <c r="L54" s="74">
        <v>4747.0248000000001</v>
      </c>
      <c r="M54" s="126">
        <f t="shared" si="0"/>
        <v>5824.1247271200009</v>
      </c>
      <c r="N54" s="74">
        <v>1352.7972</v>
      </c>
      <c r="O54" s="126">
        <f t="shared" si="1"/>
        <v>1659.74688468</v>
      </c>
      <c r="P54" s="74">
        <v>6099.8220000000001</v>
      </c>
      <c r="Q54" s="74">
        <v>1384.0496117999999</v>
      </c>
      <c r="R54" s="75">
        <v>7483.8716118000002</v>
      </c>
    </row>
    <row r="55" spans="2:18" ht="51" x14ac:dyDescent="0.25">
      <c r="B55" s="67" t="s">
        <v>21</v>
      </c>
      <c r="C55" s="67">
        <v>100723</v>
      </c>
      <c r="D55" s="67" t="s">
        <v>158</v>
      </c>
      <c r="E55" s="33" t="s">
        <v>272</v>
      </c>
      <c r="F55" s="31" t="s">
        <v>32</v>
      </c>
      <c r="G55" s="36">
        <v>174.78</v>
      </c>
      <c r="H55" s="36"/>
      <c r="I55" s="36">
        <v>7.86</v>
      </c>
      <c r="J55" s="36">
        <v>1.91</v>
      </c>
      <c r="K55" s="36">
        <v>9.77</v>
      </c>
      <c r="L55" s="37">
        <v>1373.7708</v>
      </c>
      <c r="M55" s="128">
        <f t="shared" si="0"/>
        <v>1685.4793945200001</v>
      </c>
      <c r="N55" s="37">
        <v>333.82979999999998</v>
      </c>
      <c r="O55" s="128">
        <f t="shared" si="1"/>
        <v>409.57578161999999</v>
      </c>
      <c r="P55" s="37">
        <v>1707.6006</v>
      </c>
      <c r="Q55" s="37">
        <v>387.45457613999997</v>
      </c>
      <c r="R55" s="43">
        <v>2095.0551761400002</v>
      </c>
    </row>
    <row r="56" spans="2:18" ht="51" x14ac:dyDescent="0.25">
      <c r="B56" s="70" t="s">
        <v>169</v>
      </c>
      <c r="C56" s="70" t="s">
        <v>271</v>
      </c>
      <c r="D56" s="71" t="s">
        <v>159</v>
      </c>
      <c r="E56" s="72" t="s">
        <v>287</v>
      </c>
      <c r="F56" s="73" t="s">
        <v>35</v>
      </c>
      <c r="G56" s="76">
        <v>1</v>
      </c>
      <c r="H56" s="76"/>
      <c r="I56" s="76">
        <v>625.9</v>
      </c>
      <c r="J56" s="76">
        <v>86.29</v>
      </c>
      <c r="K56" s="76">
        <v>712.18999999999994</v>
      </c>
      <c r="L56" s="74">
        <v>625.9</v>
      </c>
      <c r="M56" s="126">
        <f t="shared" si="0"/>
        <v>767.91671000000008</v>
      </c>
      <c r="N56" s="74">
        <v>86.29</v>
      </c>
      <c r="O56" s="126">
        <f t="shared" si="1"/>
        <v>105.86920100000002</v>
      </c>
      <c r="P56" s="74">
        <v>712.18999999999994</v>
      </c>
      <c r="Q56" s="74">
        <v>161.59591099999997</v>
      </c>
      <c r="R56" s="75">
        <v>873.78591099999994</v>
      </c>
    </row>
    <row r="57" spans="2:18" ht="38.25" x14ac:dyDescent="0.25">
      <c r="B57" s="70" t="s">
        <v>169</v>
      </c>
      <c r="C57" s="70" t="s">
        <v>276</v>
      </c>
      <c r="D57" s="71" t="s">
        <v>160</v>
      </c>
      <c r="E57" s="72" t="s">
        <v>277</v>
      </c>
      <c r="F57" s="73" t="s">
        <v>32</v>
      </c>
      <c r="G57" s="76">
        <v>10.75</v>
      </c>
      <c r="H57" s="76"/>
      <c r="I57" s="76">
        <v>32.799999999999997</v>
      </c>
      <c r="J57" s="76">
        <v>7.74</v>
      </c>
      <c r="K57" s="76">
        <v>40.54</v>
      </c>
      <c r="L57" s="74">
        <v>352.59999999999997</v>
      </c>
      <c r="M57" s="126">
        <f t="shared" si="0"/>
        <v>432.60494</v>
      </c>
      <c r="N57" s="74">
        <v>83.204999999999998</v>
      </c>
      <c r="O57" s="126">
        <f t="shared" si="1"/>
        <v>102.0842145</v>
      </c>
      <c r="P57" s="74">
        <v>435.80499999999995</v>
      </c>
      <c r="Q57" s="74">
        <v>98.88415449999998</v>
      </c>
      <c r="R57" s="75">
        <v>534.68915449999997</v>
      </c>
    </row>
    <row r="58" spans="2:18" ht="51" x14ac:dyDescent="0.25">
      <c r="B58" s="67" t="s">
        <v>21</v>
      </c>
      <c r="C58" s="67">
        <v>100723</v>
      </c>
      <c r="D58" s="67" t="s">
        <v>161</v>
      </c>
      <c r="E58" s="33" t="s">
        <v>278</v>
      </c>
      <c r="F58" s="31" t="s">
        <v>32</v>
      </c>
      <c r="G58" s="36">
        <v>10.75</v>
      </c>
      <c r="H58" s="36"/>
      <c r="I58" s="36">
        <v>7.86</v>
      </c>
      <c r="J58" s="36">
        <v>1.91</v>
      </c>
      <c r="K58" s="36">
        <v>9.77</v>
      </c>
      <c r="L58" s="37">
        <v>84.495000000000005</v>
      </c>
      <c r="M58" s="128">
        <f t="shared" si="0"/>
        <v>103.66691550000002</v>
      </c>
      <c r="N58" s="37">
        <v>20.532499999999999</v>
      </c>
      <c r="O58" s="128">
        <f t="shared" si="1"/>
        <v>25.191324250000001</v>
      </c>
      <c r="P58" s="37">
        <v>105.0275</v>
      </c>
      <c r="Q58" s="37">
        <v>23.830739749999999</v>
      </c>
      <c r="R58" s="43">
        <v>128.85823975</v>
      </c>
    </row>
    <row r="59" spans="2:18" x14ac:dyDescent="0.25">
      <c r="B59" s="58"/>
      <c r="C59" s="66"/>
      <c r="D59" s="30"/>
      <c r="E59" s="35" t="s">
        <v>139</v>
      </c>
      <c r="F59" s="27"/>
      <c r="G59" s="87"/>
      <c r="H59" s="87"/>
      <c r="I59" s="87"/>
      <c r="J59" s="87"/>
      <c r="K59" s="87"/>
      <c r="L59" s="87"/>
      <c r="M59" s="127">
        <f t="shared" si="0"/>
        <v>0</v>
      </c>
      <c r="N59" s="87"/>
      <c r="O59" s="127">
        <f t="shared" si="1"/>
        <v>0</v>
      </c>
      <c r="P59" s="87"/>
      <c r="Q59" s="34"/>
      <c r="R59" s="42"/>
    </row>
    <row r="60" spans="2:18" ht="51" x14ac:dyDescent="0.25">
      <c r="B60" s="70" t="s">
        <v>169</v>
      </c>
      <c r="C60" s="70" t="s">
        <v>274</v>
      </c>
      <c r="D60" s="71" t="s">
        <v>279</v>
      </c>
      <c r="E60" s="72" t="s">
        <v>342</v>
      </c>
      <c r="F60" s="73" t="s">
        <v>35</v>
      </c>
      <c r="G60" s="76">
        <v>5</v>
      </c>
      <c r="H60" s="76"/>
      <c r="I60" s="76">
        <v>871.27</v>
      </c>
      <c r="J60" s="76">
        <v>64.709999999999994</v>
      </c>
      <c r="K60" s="76">
        <v>935.98</v>
      </c>
      <c r="L60" s="74">
        <v>4356.3500000000004</v>
      </c>
      <c r="M60" s="126">
        <f t="shared" si="0"/>
        <v>5344.8058150000006</v>
      </c>
      <c r="N60" s="74">
        <v>323.54999999999995</v>
      </c>
      <c r="O60" s="126">
        <f t="shared" si="1"/>
        <v>396.96349499999997</v>
      </c>
      <c r="P60" s="74">
        <v>4679.9000000000005</v>
      </c>
      <c r="Q60" s="74">
        <v>1061.86931</v>
      </c>
      <c r="R60" s="75">
        <v>5741.7693100000006</v>
      </c>
    </row>
    <row r="61" spans="2:18" ht="38.25" x14ac:dyDescent="0.25">
      <c r="B61" s="70" t="s">
        <v>169</v>
      </c>
      <c r="C61" s="70" t="s">
        <v>276</v>
      </c>
      <c r="D61" s="71" t="s">
        <v>280</v>
      </c>
      <c r="E61" s="72" t="s">
        <v>270</v>
      </c>
      <c r="F61" s="73" t="s">
        <v>32</v>
      </c>
      <c r="G61" s="76">
        <v>148.34</v>
      </c>
      <c r="H61" s="76"/>
      <c r="I61" s="76">
        <v>24.9</v>
      </c>
      <c r="J61" s="76">
        <v>7.74</v>
      </c>
      <c r="K61" s="76">
        <v>32.64</v>
      </c>
      <c r="L61" s="74">
        <v>3693.6659999999997</v>
      </c>
      <c r="M61" s="126">
        <f t="shared" si="0"/>
        <v>4531.7588154000005</v>
      </c>
      <c r="N61" s="74">
        <v>1148.1516000000001</v>
      </c>
      <c r="O61" s="126">
        <f t="shared" si="1"/>
        <v>1408.6671980400004</v>
      </c>
      <c r="P61" s="74">
        <v>4841.8176000000003</v>
      </c>
      <c r="Q61" s="74">
        <v>1098.60841344</v>
      </c>
      <c r="R61" s="75">
        <v>5940.4260134400001</v>
      </c>
    </row>
    <row r="62" spans="2:18" ht="38.25" x14ac:dyDescent="0.25">
      <c r="B62" s="67" t="s">
        <v>21</v>
      </c>
      <c r="C62" s="67">
        <v>100723</v>
      </c>
      <c r="D62" s="67" t="s">
        <v>281</v>
      </c>
      <c r="E62" s="33" t="s">
        <v>273</v>
      </c>
      <c r="F62" s="31" t="s">
        <v>32</v>
      </c>
      <c r="G62" s="36">
        <v>148.34</v>
      </c>
      <c r="H62" s="36"/>
      <c r="I62" s="36">
        <v>7.86</v>
      </c>
      <c r="J62" s="36">
        <v>1.91</v>
      </c>
      <c r="K62" s="36">
        <v>9.77</v>
      </c>
      <c r="L62" s="37">
        <v>1165.9524000000001</v>
      </c>
      <c r="M62" s="128">
        <f t="shared" si="0"/>
        <v>1430.5069995600002</v>
      </c>
      <c r="N62" s="37">
        <v>283.32940000000002</v>
      </c>
      <c r="O62" s="128">
        <f t="shared" si="1"/>
        <v>347.61684086000008</v>
      </c>
      <c r="P62" s="37">
        <v>1449.2818000000002</v>
      </c>
      <c r="Q62" s="37">
        <v>328.84204042000005</v>
      </c>
      <c r="R62" s="43">
        <v>1778.1238404200003</v>
      </c>
    </row>
    <row r="63" spans="2:18" x14ac:dyDescent="0.25">
      <c r="B63" s="100"/>
      <c r="C63" s="101"/>
      <c r="D63" s="102" t="s">
        <v>20</v>
      </c>
      <c r="E63" s="103" t="s">
        <v>162</v>
      </c>
      <c r="F63" s="104"/>
      <c r="G63" s="110"/>
      <c r="H63" s="110"/>
      <c r="I63" s="110"/>
      <c r="J63" s="110"/>
      <c r="K63" s="110"/>
      <c r="L63" s="110"/>
      <c r="M63" s="127">
        <f t="shared" si="0"/>
        <v>0</v>
      </c>
      <c r="N63" s="110"/>
      <c r="O63" s="127">
        <f t="shared" si="1"/>
        <v>0</v>
      </c>
      <c r="P63" s="110"/>
      <c r="Q63" s="105"/>
      <c r="R63" s="106">
        <v>68094.324381090002</v>
      </c>
    </row>
    <row r="64" spans="2:18" x14ac:dyDescent="0.25">
      <c r="B64" s="58"/>
      <c r="C64" s="66"/>
      <c r="D64" s="30"/>
      <c r="E64" s="35" t="s">
        <v>138</v>
      </c>
      <c r="F64" s="27"/>
      <c r="G64" s="87"/>
      <c r="H64" s="87"/>
      <c r="I64" s="87"/>
      <c r="J64" s="87"/>
      <c r="K64" s="87"/>
      <c r="L64" s="87"/>
      <c r="M64" s="127">
        <f t="shared" si="0"/>
        <v>0</v>
      </c>
      <c r="N64" s="87"/>
      <c r="O64" s="127">
        <f t="shared" si="1"/>
        <v>0</v>
      </c>
      <c r="P64" s="87"/>
      <c r="Q64" s="34"/>
      <c r="R64" s="42"/>
    </row>
    <row r="65" spans="2:18" ht="63.75" x14ac:dyDescent="0.25">
      <c r="B65" s="70" t="s">
        <v>21</v>
      </c>
      <c r="C65" s="67">
        <v>94216</v>
      </c>
      <c r="D65" s="32" t="s">
        <v>163</v>
      </c>
      <c r="E65" s="33" t="s">
        <v>165</v>
      </c>
      <c r="F65" s="31" t="s">
        <v>32</v>
      </c>
      <c r="G65" s="36">
        <v>185.53</v>
      </c>
      <c r="H65" s="36"/>
      <c r="I65" s="36">
        <v>9.1</v>
      </c>
      <c r="J65" s="36">
        <v>2.97</v>
      </c>
      <c r="K65" s="36">
        <v>12.07</v>
      </c>
      <c r="L65" s="37">
        <v>1688.3229999999999</v>
      </c>
      <c r="M65" s="128">
        <f t="shared" si="0"/>
        <v>2071.4034886999998</v>
      </c>
      <c r="N65" s="37">
        <v>551.02410000000009</v>
      </c>
      <c r="O65" s="128">
        <f t="shared" si="1"/>
        <v>676.05146829000012</v>
      </c>
      <c r="P65" s="37">
        <v>2239.3471</v>
      </c>
      <c r="Q65" s="37">
        <v>508.10785698999996</v>
      </c>
      <c r="R65" s="43">
        <v>2747.45495699</v>
      </c>
    </row>
    <row r="66" spans="2:18" ht="63.75" x14ac:dyDescent="0.25">
      <c r="B66" s="70" t="s">
        <v>21</v>
      </c>
      <c r="C66" s="67">
        <v>94216</v>
      </c>
      <c r="D66" s="32" t="s">
        <v>164</v>
      </c>
      <c r="E66" s="33" t="s">
        <v>165</v>
      </c>
      <c r="F66" s="31" t="s">
        <v>32</v>
      </c>
      <c r="G66" s="36">
        <v>185.53</v>
      </c>
      <c r="H66" s="36"/>
      <c r="I66" s="36">
        <v>158.33000000000001</v>
      </c>
      <c r="J66" s="36">
        <v>0</v>
      </c>
      <c r="K66" s="36">
        <v>158.33000000000001</v>
      </c>
      <c r="L66" s="37">
        <v>29374.964900000003</v>
      </c>
      <c r="M66" s="128">
        <f>IF(L66&lt;&gt;0,L66*(1+$Q$8),0)</f>
        <v>33863.459536720002</v>
      </c>
      <c r="N66" s="37">
        <v>0</v>
      </c>
      <c r="O66" s="128">
        <f t="shared" si="1"/>
        <v>0</v>
      </c>
      <c r="P66" s="37">
        <v>29374.964900000003</v>
      </c>
      <c r="Q66" s="37">
        <v>4488.49463672</v>
      </c>
      <c r="R66" s="43">
        <v>33863.459536720002</v>
      </c>
    </row>
    <row r="67" spans="2:18" x14ac:dyDescent="0.25">
      <c r="B67" s="67" t="s">
        <v>21</v>
      </c>
      <c r="C67" s="67"/>
      <c r="D67" s="32" t="s">
        <v>166</v>
      </c>
      <c r="E67" s="33" t="s">
        <v>289</v>
      </c>
      <c r="F67" s="31" t="s">
        <v>74</v>
      </c>
      <c r="G67" s="36">
        <v>1</v>
      </c>
      <c r="H67" s="36"/>
      <c r="I67" s="36">
        <v>733.01</v>
      </c>
      <c r="J67" s="36">
        <v>1069.3</v>
      </c>
      <c r="K67" s="36">
        <v>1802.31</v>
      </c>
      <c r="L67" s="37">
        <v>733.01</v>
      </c>
      <c r="M67" s="128">
        <f t="shared" si="0"/>
        <v>899.32996900000012</v>
      </c>
      <c r="N67" s="37">
        <v>1069.3</v>
      </c>
      <c r="O67" s="128">
        <f t="shared" si="1"/>
        <v>1311.92417</v>
      </c>
      <c r="P67" s="37">
        <v>1802.31</v>
      </c>
      <c r="Q67" s="37">
        <v>408.94413899999995</v>
      </c>
      <c r="R67" s="43">
        <v>2211.2541389999997</v>
      </c>
    </row>
    <row r="68" spans="2:18" x14ac:dyDescent="0.25">
      <c r="B68" s="58"/>
      <c r="C68" s="66"/>
      <c r="D68" s="30"/>
      <c r="E68" s="35" t="s">
        <v>139</v>
      </c>
      <c r="F68" s="27"/>
      <c r="G68" s="87"/>
      <c r="H68" s="87"/>
      <c r="I68" s="87"/>
      <c r="J68" s="87"/>
      <c r="K68" s="87"/>
      <c r="L68" s="87"/>
      <c r="M68" s="127">
        <f t="shared" si="0"/>
        <v>0</v>
      </c>
      <c r="N68" s="87"/>
      <c r="O68" s="127">
        <f t="shared" si="1"/>
        <v>0</v>
      </c>
      <c r="P68" s="87"/>
      <c r="Q68" s="34"/>
      <c r="R68" s="42"/>
    </row>
    <row r="69" spans="2:18" ht="63.75" x14ac:dyDescent="0.25">
      <c r="B69" s="70" t="s">
        <v>21</v>
      </c>
      <c r="C69" s="67">
        <v>94216</v>
      </c>
      <c r="D69" s="32" t="s">
        <v>167</v>
      </c>
      <c r="E69" s="33" t="s">
        <v>165</v>
      </c>
      <c r="F69" s="31" t="s">
        <v>32</v>
      </c>
      <c r="G69" s="36">
        <v>148.34</v>
      </c>
      <c r="H69" s="36"/>
      <c r="I69" s="36">
        <v>9.1</v>
      </c>
      <c r="J69" s="36">
        <v>2.97</v>
      </c>
      <c r="K69" s="36">
        <v>12.07</v>
      </c>
      <c r="L69" s="37">
        <v>1349.894</v>
      </c>
      <c r="M69" s="128">
        <f t="shared" si="0"/>
        <v>1656.1849486000001</v>
      </c>
      <c r="N69" s="37">
        <v>440.56980000000004</v>
      </c>
      <c r="O69" s="128">
        <f t="shared" si="1"/>
        <v>540.53508762000013</v>
      </c>
      <c r="P69" s="37">
        <v>1790.4638</v>
      </c>
      <c r="Q69" s="37">
        <v>406.25623622000001</v>
      </c>
      <c r="R69" s="43">
        <v>2196.7200362200001</v>
      </c>
    </row>
    <row r="70" spans="2:18" ht="63.75" x14ac:dyDescent="0.25">
      <c r="B70" s="70" t="s">
        <v>21</v>
      </c>
      <c r="C70" s="67">
        <v>94216</v>
      </c>
      <c r="D70" s="32" t="s">
        <v>291</v>
      </c>
      <c r="E70" s="33" t="s">
        <v>165</v>
      </c>
      <c r="F70" s="31" t="s">
        <v>32</v>
      </c>
      <c r="G70" s="36">
        <v>148.34</v>
      </c>
      <c r="H70" s="36"/>
      <c r="I70" s="36">
        <v>158.33000000000001</v>
      </c>
      <c r="J70" s="36">
        <v>0</v>
      </c>
      <c r="K70" s="36">
        <v>158.33000000000001</v>
      </c>
      <c r="L70" s="37">
        <v>23486.672200000001</v>
      </c>
      <c r="M70" s="128">
        <f>IF(L70&lt;&gt;0,L70*(1+$Q$8),0)</f>
        <v>27075.435712160001</v>
      </c>
      <c r="N70" s="37">
        <v>0</v>
      </c>
      <c r="O70" s="128">
        <f t="shared" si="1"/>
        <v>0</v>
      </c>
      <c r="P70" s="37">
        <v>23486.672200000001</v>
      </c>
      <c r="Q70" s="37">
        <v>3588.7635121600001</v>
      </c>
      <c r="R70" s="43">
        <v>27075.435712160001</v>
      </c>
    </row>
    <row r="71" spans="2:18" x14ac:dyDescent="0.25">
      <c r="B71" s="100"/>
      <c r="C71" s="101"/>
      <c r="D71" s="102" t="s">
        <v>56</v>
      </c>
      <c r="E71" s="103" t="s">
        <v>286</v>
      </c>
      <c r="F71" s="104"/>
      <c r="G71" s="110"/>
      <c r="H71" s="110"/>
      <c r="I71" s="110"/>
      <c r="J71" s="110"/>
      <c r="K71" s="110"/>
      <c r="L71" s="110"/>
      <c r="M71" s="127">
        <f t="shared" si="0"/>
        <v>0</v>
      </c>
      <c r="N71" s="110"/>
      <c r="O71" s="127">
        <f t="shared" si="1"/>
        <v>0</v>
      </c>
      <c r="P71" s="110"/>
      <c r="Q71" s="105"/>
      <c r="R71" s="106">
        <v>25473.130665619999</v>
      </c>
    </row>
    <row r="72" spans="2:18" x14ac:dyDescent="0.25">
      <c r="B72" s="58"/>
      <c r="C72" s="66"/>
      <c r="D72" s="30"/>
      <c r="E72" s="35" t="s">
        <v>138</v>
      </c>
      <c r="F72" s="27"/>
      <c r="G72" s="87"/>
      <c r="H72" s="87"/>
      <c r="I72" s="87"/>
      <c r="J72" s="87"/>
      <c r="K72" s="87"/>
      <c r="L72" s="87"/>
      <c r="M72" s="127">
        <f t="shared" si="0"/>
        <v>0</v>
      </c>
      <c r="N72" s="87"/>
      <c r="O72" s="127">
        <f t="shared" si="1"/>
        <v>0</v>
      </c>
      <c r="P72" s="87"/>
      <c r="Q72" s="34"/>
      <c r="R72" s="42">
        <v>0</v>
      </c>
    </row>
    <row r="73" spans="2:18" ht="38.25" x14ac:dyDescent="0.25">
      <c r="B73" s="70" t="s">
        <v>169</v>
      </c>
      <c r="C73" s="67">
        <v>94229</v>
      </c>
      <c r="D73" s="32" t="s">
        <v>168</v>
      </c>
      <c r="E73" s="33" t="s">
        <v>321</v>
      </c>
      <c r="F73" s="31" t="s">
        <v>34</v>
      </c>
      <c r="G73" s="36">
        <v>38.299999999999997</v>
      </c>
      <c r="H73" s="36"/>
      <c r="I73" s="36">
        <v>92.26</v>
      </c>
      <c r="J73" s="36">
        <v>29.45</v>
      </c>
      <c r="K73" s="36">
        <v>121.71000000000001</v>
      </c>
      <c r="L73" s="37">
        <v>3533.558</v>
      </c>
      <c r="M73" s="128">
        <f t="shared" si="0"/>
        <v>4335.3223102000002</v>
      </c>
      <c r="N73" s="37">
        <v>1127.9349999999999</v>
      </c>
      <c r="O73" s="128">
        <f t="shared" si="1"/>
        <v>1383.8634515000001</v>
      </c>
      <c r="P73" s="37">
        <v>4661.4930000000004</v>
      </c>
      <c r="Q73" s="37">
        <v>1057.6927617000001</v>
      </c>
      <c r="R73" s="43">
        <v>5719.1857617000005</v>
      </c>
    </row>
    <row r="74" spans="2:18" ht="25.5" x14ac:dyDescent="0.25">
      <c r="B74" s="70" t="s">
        <v>21</v>
      </c>
      <c r="C74" s="67">
        <v>100327</v>
      </c>
      <c r="D74" s="32" t="s">
        <v>171</v>
      </c>
      <c r="E74" s="33" t="s">
        <v>170</v>
      </c>
      <c r="F74" s="31" t="s">
        <v>34</v>
      </c>
      <c r="G74" s="36">
        <v>33.93</v>
      </c>
      <c r="H74" s="36"/>
      <c r="I74" s="36">
        <v>40.69</v>
      </c>
      <c r="J74" s="36">
        <v>9.4499999999999993</v>
      </c>
      <c r="K74" s="36">
        <v>50.14</v>
      </c>
      <c r="L74" s="37">
        <v>1380.6116999999999</v>
      </c>
      <c r="M74" s="128">
        <f t="shared" si="0"/>
        <v>1693.87249473</v>
      </c>
      <c r="N74" s="37">
        <v>320.63849999999996</v>
      </c>
      <c r="O74" s="128">
        <f t="shared" si="1"/>
        <v>393.39137564999999</v>
      </c>
      <c r="P74" s="37">
        <v>1701.2501999999999</v>
      </c>
      <c r="Q74" s="37">
        <v>386.01367037999995</v>
      </c>
      <c r="R74" s="43">
        <v>2087.2638703799998</v>
      </c>
    </row>
    <row r="75" spans="2:18" ht="38.25" x14ac:dyDescent="0.25">
      <c r="B75" s="70" t="s">
        <v>39</v>
      </c>
      <c r="C75" s="67"/>
      <c r="D75" s="32" t="s">
        <v>173</v>
      </c>
      <c r="E75" s="33" t="s">
        <v>259</v>
      </c>
      <c r="F75" s="31" t="s">
        <v>32</v>
      </c>
      <c r="G75" s="36">
        <v>62.889999999999986</v>
      </c>
      <c r="H75" s="36"/>
      <c r="I75" s="36">
        <v>50.92</v>
      </c>
      <c r="J75" s="36">
        <v>9.4499999999999993</v>
      </c>
      <c r="K75" s="36">
        <v>60.370000000000005</v>
      </c>
      <c r="L75" s="37">
        <v>3202.3587999999995</v>
      </c>
      <c r="M75" s="128">
        <f t="shared" si="0"/>
        <v>3928.9740117199999</v>
      </c>
      <c r="N75" s="37">
        <v>594.31049999999982</v>
      </c>
      <c r="O75" s="128">
        <f t="shared" si="1"/>
        <v>729.15955244999986</v>
      </c>
      <c r="P75" s="37">
        <v>3796.6692999999996</v>
      </c>
      <c r="Q75" s="37">
        <v>861.46426416999986</v>
      </c>
      <c r="R75" s="43">
        <v>4658.1335641699998</v>
      </c>
    </row>
    <row r="76" spans="2:18" ht="25.5" x14ac:dyDescent="0.25">
      <c r="B76" s="70" t="s">
        <v>21</v>
      </c>
      <c r="C76" s="67">
        <v>101979</v>
      </c>
      <c r="D76" s="32" t="s">
        <v>253</v>
      </c>
      <c r="E76" s="33" t="s">
        <v>172</v>
      </c>
      <c r="F76" s="31" t="s">
        <v>34</v>
      </c>
      <c r="G76" s="36">
        <v>67.23</v>
      </c>
      <c r="H76" s="36"/>
      <c r="I76" s="36">
        <v>29.32</v>
      </c>
      <c r="J76" s="36">
        <v>7.19</v>
      </c>
      <c r="K76" s="36">
        <v>36.51</v>
      </c>
      <c r="L76" s="37">
        <v>1971.1836000000001</v>
      </c>
      <c r="M76" s="128">
        <f t="shared" si="0"/>
        <v>2418.4451588400002</v>
      </c>
      <c r="N76" s="37">
        <v>483.38370000000003</v>
      </c>
      <c r="O76" s="128">
        <f t="shared" si="1"/>
        <v>593.06346153000004</v>
      </c>
      <c r="P76" s="37">
        <v>2454.5673000000002</v>
      </c>
      <c r="Q76" s="37">
        <v>556.94132036999997</v>
      </c>
      <c r="R76" s="43">
        <v>3011.5086203700002</v>
      </c>
    </row>
    <row r="77" spans="2:18" ht="38.25" x14ac:dyDescent="0.25">
      <c r="B77" s="70" t="s">
        <v>39</v>
      </c>
      <c r="C77" s="67"/>
      <c r="D77" s="32" t="s">
        <v>225</v>
      </c>
      <c r="E77" s="33" t="s">
        <v>282</v>
      </c>
      <c r="F77" s="31" t="s">
        <v>35</v>
      </c>
      <c r="G77" s="36">
        <v>6</v>
      </c>
      <c r="H77" s="36"/>
      <c r="I77" s="36">
        <v>23.03</v>
      </c>
      <c r="J77" s="36">
        <v>5.34</v>
      </c>
      <c r="K77" s="36">
        <v>28.37</v>
      </c>
      <c r="L77" s="37">
        <v>138.18</v>
      </c>
      <c r="M77" s="128">
        <f t="shared" si="0"/>
        <v>169.53304200000002</v>
      </c>
      <c r="N77" s="37">
        <v>32.04</v>
      </c>
      <c r="O77" s="128">
        <f t="shared" si="1"/>
        <v>39.309876000000003</v>
      </c>
      <c r="P77" s="37">
        <v>170.22</v>
      </c>
      <c r="Q77" s="37">
        <v>38.622917999999999</v>
      </c>
      <c r="R77" s="43">
        <v>208.842918</v>
      </c>
    </row>
    <row r="78" spans="2:18" ht="38.25" x14ac:dyDescent="0.25">
      <c r="B78" s="70" t="s">
        <v>39</v>
      </c>
      <c r="C78" s="67"/>
      <c r="D78" s="32" t="s">
        <v>258</v>
      </c>
      <c r="E78" s="33" t="s">
        <v>283</v>
      </c>
      <c r="F78" s="31" t="s">
        <v>35</v>
      </c>
      <c r="G78" s="36">
        <v>6</v>
      </c>
      <c r="H78" s="36"/>
      <c r="I78" s="36">
        <v>52.1</v>
      </c>
      <c r="J78" s="36">
        <v>5.34</v>
      </c>
      <c r="K78" s="36">
        <v>57.44</v>
      </c>
      <c r="L78" s="37">
        <v>312.60000000000002</v>
      </c>
      <c r="M78" s="128">
        <f t="shared" si="0"/>
        <v>383.52894000000003</v>
      </c>
      <c r="N78" s="37">
        <v>32.04</v>
      </c>
      <c r="O78" s="128">
        <f t="shared" si="1"/>
        <v>39.309876000000003</v>
      </c>
      <c r="P78" s="37">
        <v>344.64000000000004</v>
      </c>
      <c r="Q78" s="37">
        <v>78.198816000000008</v>
      </c>
      <c r="R78" s="43">
        <v>422.83881600000007</v>
      </c>
    </row>
    <row r="79" spans="2:18" x14ac:dyDescent="0.25">
      <c r="B79" s="58"/>
      <c r="C79" s="66"/>
      <c r="D79" s="30"/>
      <c r="E79" s="35" t="s">
        <v>139</v>
      </c>
      <c r="F79" s="27"/>
      <c r="G79" s="87"/>
      <c r="H79" s="87"/>
      <c r="I79" s="87"/>
      <c r="J79" s="87"/>
      <c r="K79" s="87"/>
      <c r="L79" s="87"/>
      <c r="M79" s="127">
        <f t="shared" si="0"/>
        <v>0</v>
      </c>
      <c r="N79" s="87"/>
      <c r="O79" s="127">
        <f t="shared" si="1"/>
        <v>0</v>
      </c>
      <c r="P79" s="87"/>
      <c r="Q79" s="34"/>
      <c r="R79" s="42"/>
    </row>
    <row r="80" spans="2:18" ht="38.25" x14ac:dyDescent="0.25">
      <c r="B80" s="70" t="s">
        <v>169</v>
      </c>
      <c r="C80" s="67" t="s">
        <v>330</v>
      </c>
      <c r="D80" s="32" t="s">
        <v>284</v>
      </c>
      <c r="E80" s="33" t="s">
        <v>343</v>
      </c>
      <c r="F80" s="31" t="s">
        <v>34</v>
      </c>
      <c r="G80" s="36">
        <v>25.8</v>
      </c>
      <c r="H80" s="36"/>
      <c r="I80" s="36">
        <v>96.66</v>
      </c>
      <c r="J80" s="36">
        <v>29.45</v>
      </c>
      <c r="K80" s="36">
        <v>126.11</v>
      </c>
      <c r="L80" s="37">
        <v>2493.828</v>
      </c>
      <c r="M80" s="128">
        <f t="shared" ref="M80:M143" si="2">IF(L80&lt;&gt;0,L80*(1+$Q$7),0)</f>
        <v>3059.6775732000001</v>
      </c>
      <c r="N80" s="37">
        <v>759.81000000000006</v>
      </c>
      <c r="O80" s="128">
        <f t="shared" ref="O80:O143" si="3">IF(N80&lt;&gt;0,N80*(1+$Q$7),0)</f>
        <v>932.21088900000018</v>
      </c>
      <c r="P80" s="37">
        <v>3253.6379999999999</v>
      </c>
      <c r="Q80" s="37">
        <v>738.2504621999999</v>
      </c>
      <c r="R80" s="43">
        <v>3991.8884621999996</v>
      </c>
    </row>
    <row r="81" spans="2:18" ht="25.5" x14ac:dyDescent="0.25">
      <c r="B81" s="70" t="s">
        <v>21</v>
      </c>
      <c r="C81" s="67">
        <v>100327</v>
      </c>
      <c r="D81" s="32" t="s">
        <v>285</v>
      </c>
      <c r="E81" s="33" t="s">
        <v>170</v>
      </c>
      <c r="F81" s="31" t="s">
        <v>34</v>
      </c>
      <c r="G81" s="36">
        <v>38.08</v>
      </c>
      <c r="H81" s="36"/>
      <c r="I81" s="36">
        <v>40.69</v>
      </c>
      <c r="J81" s="36">
        <v>9.4499999999999993</v>
      </c>
      <c r="K81" s="36">
        <v>50.14</v>
      </c>
      <c r="L81" s="37">
        <v>1549.4751999999999</v>
      </c>
      <c r="M81" s="128">
        <f t="shared" si="2"/>
        <v>1901.0511228800001</v>
      </c>
      <c r="N81" s="37">
        <v>359.85599999999994</v>
      </c>
      <c r="O81" s="128">
        <f t="shared" si="3"/>
        <v>441.50732639999995</v>
      </c>
      <c r="P81" s="37">
        <v>1909.3311999999999</v>
      </c>
      <c r="Q81" s="37">
        <v>433.22724927999997</v>
      </c>
      <c r="R81" s="43">
        <v>2342.5584492799999</v>
      </c>
    </row>
    <row r="82" spans="2:18" ht="25.5" x14ac:dyDescent="0.25">
      <c r="B82" s="70" t="s">
        <v>21</v>
      </c>
      <c r="C82" s="67">
        <v>101979</v>
      </c>
      <c r="D82" s="32" t="s">
        <v>320</v>
      </c>
      <c r="E82" s="33" t="s">
        <v>172</v>
      </c>
      <c r="F82" s="31" t="s">
        <v>34</v>
      </c>
      <c r="G82" s="36">
        <v>38.08</v>
      </c>
      <c r="H82" s="36"/>
      <c r="I82" s="36">
        <v>29.32</v>
      </c>
      <c r="J82" s="36">
        <v>7.19</v>
      </c>
      <c r="K82" s="36">
        <v>36.51</v>
      </c>
      <c r="L82" s="37">
        <v>1116.5056</v>
      </c>
      <c r="M82" s="128">
        <f t="shared" si="2"/>
        <v>1369.84072064</v>
      </c>
      <c r="N82" s="37">
        <v>273.79520000000002</v>
      </c>
      <c r="O82" s="128">
        <f t="shared" si="3"/>
        <v>335.91933088000008</v>
      </c>
      <c r="P82" s="37">
        <v>1390.3008</v>
      </c>
      <c r="Q82" s="37">
        <v>315.45925152000001</v>
      </c>
      <c r="R82" s="43">
        <v>1705.7600515199999</v>
      </c>
    </row>
    <row r="83" spans="2:18" ht="25.5" x14ac:dyDescent="0.25">
      <c r="B83" s="70" t="s">
        <v>39</v>
      </c>
      <c r="C83" s="67"/>
      <c r="D83" s="32" t="s">
        <v>322</v>
      </c>
      <c r="E83" s="33" t="s">
        <v>323</v>
      </c>
      <c r="F83" s="31" t="s">
        <v>35</v>
      </c>
      <c r="G83" s="36">
        <v>4</v>
      </c>
      <c r="H83" s="36"/>
      <c r="I83" s="36">
        <v>255.01</v>
      </c>
      <c r="J83" s="36">
        <v>15.01</v>
      </c>
      <c r="K83" s="36">
        <v>270.02</v>
      </c>
      <c r="L83" s="37">
        <v>1020.04</v>
      </c>
      <c r="M83" s="128">
        <f t="shared" si="2"/>
        <v>1251.4870760000001</v>
      </c>
      <c r="N83" s="37">
        <v>60.04</v>
      </c>
      <c r="O83" s="128">
        <f t="shared" si="3"/>
        <v>73.663076000000004</v>
      </c>
      <c r="P83" s="37">
        <v>1080.08</v>
      </c>
      <c r="Q83" s="37">
        <v>245.07015199999998</v>
      </c>
      <c r="R83" s="43">
        <v>1325.1501519999999</v>
      </c>
    </row>
    <row r="84" spans="2:18" x14ac:dyDescent="0.25">
      <c r="B84" s="100"/>
      <c r="C84" s="101"/>
      <c r="D84" s="102" t="s">
        <v>235</v>
      </c>
      <c r="E84" s="103" t="s">
        <v>317</v>
      </c>
      <c r="F84" s="104"/>
      <c r="G84" s="110"/>
      <c r="H84" s="110"/>
      <c r="I84" s="110"/>
      <c r="J84" s="110"/>
      <c r="K84" s="110"/>
      <c r="L84" s="110"/>
      <c r="M84" s="127">
        <f t="shared" si="2"/>
        <v>0</v>
      </c>
      <c r="N84" s="110"/>
      <c r="O84" s="127">
        <f t="shared" si="3"/>
        <v>0</v>
      </c>
      <c r="P84" s="110"/>
      <c r="Q84" s="105"/>
      <c r="R84" s="106">
        <v>12439.36770207</v>
      </c>
    </row>
    <row r="85" spans="2:18" x14ac:dyDescent="0.25">
      <c r="B85" s="58"/>
      <c r="C85" s="66"/>
      <c r="D85" s="30"/>
      <c r="E85" s="35" t="s">
        <v>318</v>
      </c>
      <c r="F85" s="27"/>
      <c r="G85" s="87"/>
      <c r="H85" s="87"/>
      <c r="I85" s="87"/>
      <c r="J85" s="87"/>
      <c r="K85" s="87"/>
      <c r="L85" s="87"/>
      <c r="M85" s="127">
        <f t="shared" si="2"/>
        <v>0</v>
      </c>
      <c r="N85" s="87"/>
      <c r="O85" s="127">
        <f t="shared" si="3"/>
        <v>0</v>
      </c>
      <c r="P85" s="87"/>
      <c r="Q85" s="34"/>
      <c r="R85" s="42"/>
    </row>
    <row r="86" spans="2:18" ht="38.25" x14ac:dyDescent="0.25">
      <c r="B86" s="70" t="s">
        <v>21</v>
      </c>
      <c r="C86" s="67">
        <v>96114</v>
      </c>
      <c r="D86" s="32" t="s">
        <v>236</v>
      </c>
      <c r="E86" s="33" t="s">
        <v>316</v>
      </c>
      <c r="F86" s="31" t="s">
        <v>32</v>
      </c>
      <c r="G86" s="36">
        <v>123.83</v>
      </c>
      <c r="H86" s="36"/>
      <c r="I86" s="36">
        <v>44.1</v>
      </c>
      <c r="J86" s="36">
        <v>22.77</v>
      </c>
      <c r="K86" s="36">
        <v>66.87</v>
      </c>
      <c r="L86" s="37">
        <v>5460.9030000000002</v>
      </c>
      <c r="M86" s="128">
        <f t="shared" si="2"/>
        <v>6699.9818907000008</v>
      </c>
      <c r="N86" s="37">
        <v>2819.6091000000001</v>
      </c>
      <c r="O86" s="128">
        <f t="shared" si="3"/>
        <v>3459.3784047900003</v>
      </c>
      <c r="P86" s="37">
        <v>8280.5120999999999</v>
      </c>
      <c r="Q86" s="37">
        <v>1878.8481954899999</v>
      </c>
      <c r="R86" s="43">
        <v>10159.36029549</v>
      </c>
    </row>
    <row r="87" spans="2:18" x14ac:dyDescent="0.25">
      <c r="B87" s="58"/>
      <c r="C87" s="66"/>
      <c r="D87" s="30"/>
      <c r="E87" s="35" t="s">
        <v>319</v>
      </c>
      <c r="F87" s="27"/>
      <c r="G87" s="87"/>
      <c r="H87" s="87"/>
      <c r="I87" s="87"/>
      <c r="J87" s="87"/>
      <c r="K87" s="87"/>
      <c r="L87" s="87"/>
      <c r="M87" s="127">
        <f t="shared" si="2"/>
        <v>0</v>
      </c>
      <c r="N87" s="87"/>
      <c r="O87" s="127">
        <f t="shared" si="3"/>
        <v>0</v>
      </c>
      <c r="P87" s="87"/>
      <c r="Q87" s="34"/>
      <c r="R87" s="42"/>
    </row>
    <row r="88" spans="2:18" ht="48" x14ac:dyDescent="0.25">
      <c r="B88" s="70" t="s">
        <v>169</v>
      </c>
      <c r="C88" s="67" t="s">
        <v>314</v>
      </c>
      <c r="D88" s="32" t="s">
        <v>313</v>
      </c>
      <c r="E88" s="33" t="s">
        <v>315</v>
      </c>
      <c r="F88" s="31" t="s">
        <v>32</v>
      </c>
      <c r="G88" s="36">
        <v>24.51</v>
      </c>
      <c r="H88" s="36"/>
      <c r="I88" s="36">
        <v>49.86</v>
      </c>
      <c r="J88" s="36">
        <v>25.96</v>
      </c>
      <c r="K88" s="36">
        <v>75.819999999999993</v>
      </c>
      <c r="L88" s="37">
        <v>1222.0686000000001</v>
      </c>
      <c r="M88" s="128">
        <f t="shared" si="2"/>
        <v>1499.3559653400002</v>
      </c>
      <c r="N88" s="37">
        <v>636.27960000000007</v>
      </c>
      <c r="O88" s="128">
        <f t="shared" si="3"/>
        <v>780.65144124000017</v>
      </c>
      <c r="P88" s="37">
        <v>1858.3482000000001</v>
      </c>
      <c r="Q88" s="37">
        <v>421.65920657999999</v>
      </c>
      <c r="R88" s="43">
        <v>2280.00740658</v>
      </c>
    </row>
    <row r="89" spans="2:18" x14ac:dyDescent="0.25">
      <c r="B89" s="100"/>
      <c r="C89" s="101"/>
      <c r="D89" s="102" t="s">
        <v>292</v>
      </c>
      <c r="E89" s="103" t="s">
        <v>293</v>
      </c>
      <c r="F89" s="104"/>
      <c r="G89" s="110"/>
      <c r="H89" s="110"/>
      <c r="I89" s="110"/>
      <c r="J89" s="110"/>
      <c r="K89" s="110"/>
      <c r="L89" s="110"/>
      <c r="M89" s="127">
        <f t="shared" si="2"/>
        <v>0</v>
      </c>
      <c r="N89" s="110"/>
      <c r="O89" s="127">
        <f t="shared" si="3"/>
        <v>0</v>
      </c>
      <c r="P89" s="110"/>
      <c r="Q89" s="105"/>
      <c r="R89" s="106">
        <v>3513.0318460000003</v>
      </c>
    </row>
    <row r="90" spans="2:18" x14ac:dyDescent="0.25">
      <c r="B90" s="67" t="s">
        <v>21</v>
      </c>
      <c r="C90" s="67"/>
      <c r="D90" s="32" t="s">
        <v>294</v>
      </c>
      <c r="E90" s="33" t="s">
        <v>297</v>
      </c>
      <c r="F90" s="31" t="s">
        <v>3</v>
      </c>
      <c r="G90" s="36">
        <v>50</v>
      </c>
      <c r="H90" s="36"/>
      <c r="I90" s="36">
        <v>4.84</v>
      </c>
      <c r="J90" s="36">
        <v>11.76</v>
      </c>
      <c r="K90" s="36">
        <v>16.600000000000001</v>
      </c>
      <c r="L90" s="37">
        <v>242</v>
      </c>
      <c r="M90" s="128">
        <f t="shared" si="2"/>
        <v>296.90980000000002</v>
      </c>
      <c r="N90" s="37">
        <v>588</v>
      </c>
      <c r="O90" s="128">
        <f t="shared" si="3"/>
        <v>721.41720000000009</v>
      </c>
      <c r="P90" s="37">
        <v>830</v>
      </c>
      <c r="Q90" s="37">
        <v>188.327</v>
      </c>
      <c r="R90" s="43">
        <v>1018.327</v>
      </c>
    </row>
    <row r="91" spans="2:18" x14ac:dyDescent="0.25">
      <c r="B91" s="67" t="s">
        <v>21</v>
      </c>
      <c r="C91" s="67"/>
      <c r="D91" s="32" t="s">
        <v>295</v>
      </c>
      <c r="E91" s="33" t="s">
        <v>298</v>
      </c>
      <c r="F91" s="31" t="s">
        <v>74</v>
      </c>
      <c r="G91" s="36">
        <v>27</v>
      </c>
      <c r="H91" s="36"/>
      <c r="I91" s="36">
        <v>8.82</v>
      </c>
      <c r="J91" s="36">
        <v>6.94</v>
      </c>
      <c r="K91" s="36">
        <v>15.760000000000002</v>
      </c>
      <c r="L91" s="37">
        <v>238.14000000000001</v>
      </c>
      <c r="M91" s="128">
        <f t="shared" si="2"/>
        <v>292.17396600000006</v>
      </c>
      <c r="N91" s="37">
        <v>187.38000000000002</v>
      </c>
      <c r="O91" s="128">
        <f t="shared" si="3"/>
        <v>229.89652200000006</v>
      </c>
      <c r="P91" s="37">
        <v>425.52000000000004</v>
      </c>
      <c r="Q91" s="37">
        <v>96.550488000000001</v>
      </c>
      <c r="R91" s="43">
        <v>522.07048800000007</v>
      </c>
    </row>
    <row r="92" spans="2:18" x14ac:dyDescent="0.25">
      <c r="B92" s="67" t="s">
        <v>21</v>
      </c>
      <c r="C92" s="67"/>
      <c r="D92" s="32" t="s">
        <v>296</v>
      </c>
      <c r="E92" s="33" t="s">
        <v>264</v>
      </c>
      <c r="F92" s="31" t="s">
        <v>3</v>
      </c>
      <c r="G92" s="36">
        <v>130</v>
      </c>
      <c r="H92" s="36"/>
      <c r="I92" s="36">
        <v>2.0299999999999998</v>
      </c>
      <c r="J92" s="36">
        <v>7.48</v>
      </c>
      <c r="K92" s="36">
        <v>9.51</v>
      </c>
      <c r="L92" s="37">
        <v>263.89999999999998</v>
      </c>
      <c r="M92" s="128">
        <f t="shared" si="2"/>
        <v>323.77891</v>
      </c>
      <c r="N92" s="37">
        <v>972.40000000000009</v>
      </c>
      <c r="O92" s="128">
        <f t="shared" si="3"/>
        <v>1193.0375600000002</v>
      </c>
      <c r="P92" s="37">
        <v>1236.3000000000002</v>
      </c>
      <c r="Q92" s="37">
        <v>280.51647000000003</v>
      </c>
      <c r="R92" s="43">
        <v>1516.8164700000002</v>
      </c>
    </row>
    <row r="93" spans="2:18" x14ac:dyDescent="0.25">
      <c r="B93" s="67" t="s">
        <v>21</v>
      </c>
      <c r="C93" s="67"/>
      <c r="D93" s="32" t="s">
        <v>299</v>
      </c>
      <c r="E93" s="33" t="s">
        <v>300</v>
      </c>
      <c r="F93" s="31" t="s">
        <v>3</v>
      </c>
      <c r="G93" s="36">
        <v>27</v>
      </c>
      <c r="H93" s="36"/>
      <c r="I93" s="36">
        <v>4.68</v>
      </c>
      <c r="J93" s="36">
        <v>9.08</v>
      </c>
      <c r="K93" s="36">
        <v>13.76</v>
      </c>
      <c r="L93" s="37">
        <v>126.35999999999999</v>
      </c>
      <c r="M93" s="128">
        <f t="shared" si="2"/>
        <v>155.03108399999999</v>
      </c>
      <c r="N93" s="37">
        <v>245.16</v>
      </c>
      <c r="O93" s="128">
        <f t="shared" si="3"/>
        <v>300.78680400000002</v>
      </c>
      <c r="P93" s="37">
        <v>371.52</v>
      </c>
      <c r="Q93" s="37">
        <v>84.297887999999986</v>
      </c>
      <c r="R93" s="43">
        <v>455.81788799999998</v>
      </c>
    </row>
    <row r="94" spans="2:18" x14ac:dyDescent="0.25">
      <c r="B94" s="83"/>
      <c r="C94" s="84"/>
      <c r="D94" s="84">
        <v>3</v>
      </c>
      <c r="E94" s="85" t="s">
        <v>87</v>
      </c>
      <c r="F94" s="85"/>
      <c r="G94" s="85"/>
      <c r="H94" s="85"/>
      <c r="I94" s="85"/>
      <c r="J94" s="85"/>
      <c r="K94" s="85"/>
      <c r="L94" s="85"/>
      <c r="M94" s="130">
        <f t="shared" si="2"/>
        <v>0</v>
      </c>
      <c r="N94" s="85"/>
      <c r="O94" s="130">
        <f t="shared" si="3"/>
        <v>0</v>
      </c>
      <c r="P94" s="85"/>
      <c r="Q94" s="85"/>
      <c r="R94" s="86">
        <v>43351.722725990003</v>
      </c>
    </row>
    <row r="95" spans="2:18" x14ac:dyDescent="0.25">
      <c r="B95" s="111"/>
      <c r="C95" s="107"/>
      <c r="D95" s="107" t="s">
        <v>2</v>
      </c>
      <c r="E95" s="109" t="s">
        <v>191</v>
      </c>
      <c r="F95" s="112"/>
      <c r="G95" s="117"/>
      <c r="H95" s="117"/>
      <c r="I95" s="117"/>
      <c r="J95" s="117"/>
      <c r="K95" s="117"/>
      <c r="L95" s="117"/>
      <c r="M95" s="131">
        <f t="shared" si="2"/>
        <v>0</v>
      </c>
      <c r="N95" s="117"/>
      <c r="O95" s="131">
        <f t="shared" si="3"/>
        <v>0</v>
      </c>
      <c r="P95" s="117"/>
      <c r="Q95" s="113"/>
      <c r="R95" s="106">
        <v>6771.1721497499993</v>
      </c>
    </row>
    <row r="96" spans="2:18" ht="25.5" x14ac:dyDescent="0.25">
      <c r="B96" s="82" t="s">
        <v>21</v>
      </c>
      <c r="C96" s="82">
        <v>99814</v>
      </c>
      <c r="D96" s="71" t="s">
        <v>52</v>
      </c>
      <c r="E96" s="72" t="s">
        <v>192</v>
      </c>
      <c r="F96" s="73" t="s">
        <v>32</v>
      </c>
      <c r="G96" s="76">
        <v>365.25</v>
      </c>
      <c r="H96" s="76"/>
      <c r="I96" s="76">
        <v>0.02</v>
      </c>
      <c r="J96" s="76">
        <v>1.99</v>
      </c>
      <c r="K96" s="76">
        <v>2.0099999999999998</v>
      </c>
      <c r="L96" s="76">
        <v>7.3049999999999997</v>
      </c>
      <c r="M96" s="126">
        <f t="shared" si="2"/>
        <v>8.9625044999999997</v>
      </c>
      <c r="N96" s="76">
        <v>726.84749999999997</v>
      </c>
      <c r="O96" s="126">
        <f t="shared" si="3"/>
        <v>891.76919774999999</v>
      </c>
      <c r="P96" s="76">
        <v>734.15249999999992</v>
      </c>
      <c r="Q96" s="76">
        <v>166.57920224999998</v>
      </c>
      <c r="R96" s="118">
        <v>900.7317022499999</v>
      </c>
    </row>
    <row r="97" spans="2:18" ht="38.25" x14ac:dyDescent="0.25">
      <c r="B97" s="67" t="s">
        <v>21</v>
      </c>
      <c r="C97" s="67">
        <v>88417</v>
      </c>
      <c r="D97" s="67" t="s">
        <v>68</v>
      </c>
      <c r="E97" s="33" t="s">
        <v>193</v>
      </c>
      <c r="F97" s="31" t="s">
        <v>32</v>
      </c>
      <c r="G97" s="36">
        <v>365.25</v>
      </c>
      <c r="H97" s="36"/>
      <c r="I97" s="36">
        <v>10.53</v>
      </c>
      <c r="J97" s="36">
        <v>2.57</v>
      </c>
      <c r="K97" s="36">
        <v>13.1</v>
      </c>
      <c r="L97" s="37">
        <v>3846.0825</v>
      </c>
      <c r="M97" s="128">
        <f t="shared" si="2"/>
        <v>4718.7586192500003</v>
      </c>
      <c r="N97" s="37">
        <v>938.6925</v>
      </c>
      <c r="O97" s="128">
        <f t="shared" si="3"/>
        <v>1151.6818282500001</v>
      </c>
      <c r="P97" s="37">
        <v>4784.7749999999996</v>
      </c>
      <c r="Q97" s="37">
        <v>1085.6654474999998</v>
      </c>
      <c r="R97" s="43">
        <v>5870.4404474999992</v>
      </c>
    </row>
    <row r="98" spans="2:18" x14ac:dyDescent="0.25">
      <c r="B98" s="111"/>
      <c r="C98" s="107"/>
      <c r="D98" s="108" t="s">
        <v>25</v>
      </c>
      <c r="E98" s="109" t="s">
        <v>90</v>
      </c>
      <c r="F98" s="112"/>
      <c r="G98" s="117"/>
      <c r="H98" s="117"/>
      <c r="I98" s="117"/>
      <c r="J98" s="117"/>
      <c r="K98" s="117"/>
      <c r="L98" s="117"/>
      <c r="M98" s="131">
        <f t="shared" si="2"/>
        <v>0</v>
      </c>
      <c r="N98" s="117"/>
      <c r="O98" s="131">
        <f t="shared" si="3"/>
        <v>0</v>
      </c>
      <c r="P98" s="117"/>
      <c r="Q98" s="113"/>
      <c r="R98" s="106">
        <v>10615.46859072</v>
      </c>
    </row>
    <row r="99" spans="2:18" ht="25.5" x14ac:dyDescent="0.25">
      <c r="B99" s="82" t="s">
        <v>21</v>
      </c>
      <c r="C99" s="82">
        <v>99814</v>
      </c>
      <c r="D99" s="71" t="s">
        <v>53</v>
      </c>
      <c r="E99" s="72" t="s">
        <v>186</v>
      </c>
      <c r="F99" s="73" t="s">
        <v>32</v>
      </c>
      <c r="G99" s="76">
        <v>597.12</v>
      </c>
      <c r="H99" s="76"/>
      <c r="I99" s="76">
        <v>0.02</v>
      </c>
      <c r="J99" s="76">
        <v>1.99</v>
      </c>
      <c r="K99" s="76">
        <v>2.0099999999999998</v>
      </c>
      <c r="L99" s="76">
        <v>11.942400000000001</v>
      </c>
      <c r="M99" s="126">
        <f t="shared" si="2"/>
        <v>14.652130560000002</v>
      </c>
      <c r="N99" s="76">
        <v>1188.2688000000001</v>
      </c>
      <c r="O99" s="126">
        <f t="shared" si="3"/>
        <v>1457.8869907200001</v>
      </c>
      <c r="P99" s="76">
        <v>1200.2112</v>
      </c>
      <c r="Q99" s="76">
        <v>272.32792128</v>
      </c>
      <c r="R99" s="118">
        <v>1472.53912128</v>
      </c>
    </row>
    <row r="100" spans="2:18" ht="51" x14ac:dyDescent="0.25">
      <c r="B100" s="67" t="s">
        <v>21</v>
      </c>
      <c r="C100" s="67" t="s">
        <v>188</v>
      </c>
      <c r="D100" s="67" t="s">
        <v>67</v>
      </c>
      <c r="E100" s="33" t="s">
        <v>187</v>
      </c>
      <c r="F100" s="31" t="s">
        <v>32</v>
      </c>
      <c r="G100" s="36">
        <v>597.12</v>
      </c>
      <c r="H100" s="36"/>
      <c r="I100" s="36">
        <v>6.34</v>
      </c>
      <c r="J100" s="36">
        <v>6.14</v>
      </c>
      <c r="K100" s="36">
        <v>12.48</v>
      </c>
      <c r="L100" s="37">
        <v>3785.7408</v>
      </c>
      <c r="M100" s="128">
        <f t="shared" si="2"/>
        <v>4644.7253875200004</v>
      </c>
      <c r="N100" s="37">
        <v>3666.3168000000001</v>
      </c>
      <c r="O100" s="128">
        <f t="shared" si="3"/>
        <v>4498.2040819200001</v>
      </c>
      <c r="P100" s="37">
        <v>7452.0576000000001</v>
      </c>
      <c r="Q100" s="37">
        <v>1690.87186944</v>
      </c>
      <c r="R100" s="43">
        <v>9142.9294694399996</v>
      </c>
    </row>
    <row r="101" spans="2:18" x14ac:dyDescent="0.25">
      <c r="B101" s="111"/>
      <c r="C101" s="107"/>
      <c r="D101" s="108" t="s">
        <v>99</v>
      </c>
      <c r="E101" s="109" t="s">
        <v>91</v>
      </c>
      <c r="F101" s="112"/>
      <c r="G101" s="117"/>
      <c r="H101" s="117"/>
      <c r="I101" s="117"/>
      <c r="J101" s="117"/>
      <c r="K101" s="117"/>
      <c r="L101" s="117"/>
      <c r="M101" s="131">
        <f t="shared" si="2"/>
        <v>0</v>
      </c>
      <c r="N101" s="117"/>
      <c r="O101" s="131">
        <f t="shared" si="3"/>
        <v>0</v>
      </c>
      <c r="P101" s="117"/>
      <c r="Q101" s="113"/>
      <c r="R101" s="106">
        <v>210.53898455999996</v>
      </c>
    </row>
    <row r="102" spans="2:18" x14ac:dyDescent="0.25">
      <c r="B102" s="82" t="s">
        <v>21</v>
      </c>
      <c r="C102" s="82">
        <v>99814</v>
      </c>
      <c r="D102" s="71" t="s">
        <v>100</v>
      </c>
      <c r="E102" s="72" t="s">
        <v>190</v>
      </c>
      <c r="F102" s="73" t="s">
        <v>32</v>
      </c>
      <c r="G102" s="76">
        <v>10.16</v>
      </c>
      <c r="H102" s="76"/>
      <c r="I102" s="76">
        <v>0.02</v>
      </c>
      <c r="J102" s="76">
        <v>1.99</v>
      </c>
      <c r="K102" s="76">
        <v>2.0099999999999998</v>
      </c>
      <c r="L102" s="76">
        <v>0.20320000000000002</v>
      </c>
      <c r="M102" s="126">
        <f t="shared" si="2"/>
        <v>0.24930608000000004</v>
      </c>
      <c r="N102" s="76">
        <v>20.218399999999999</v>
      </c>
      <c r="O102" s="126">
        <f t="shared" si="3"/>
        <v>24.805954960000001</v>
      </c>
      <c r="P102" s="76">
        <v>20.421599999999998</v>
      </c>
      <c r="Q102" s="76">
        <v>4.6336610399999998</v>
      </c>
      <c r="R102" s="118">
        <v>25.055261039999998</v>
      </c>
    </row>
    <row r="103" spans="2:18" ht="25.5" x14ac:dyDescent="0.25">
      <c r="B103" s="67" t="s">
        <v>169</v>
      </c>
      <c r="C103" s="67" t="s">
        <v>331</v>
      </c>
      <c r="D103" s="32" t="s">
        <v>252</v>
      </c>
      <c r="E103" s="33" t="s">
        <v>224</v>
      </c>
      <c r="F103" s="31" t="s">
        <v>32</v>
      </c>
      <c r="G103" s="36">
        <v>10.16</v>
      </c>
      <c r="H103" s="36"/>
      <c r="I103" s="36">
        <v>6.34</v>
      </c>
      <c r="J103" s="36">
        <v>8.5399999999999991</v>
      </c>
      <c r="K103" s="36">
        <v>14.879999999999999</v>
      </c>
      <c r="L103" s="36">
        <v>64.414400000000001</v>
      </c>
      <c r="M103" s="128">
        <f t="shared" si="2"/>
        <v>79.030027360000005</v>
      </c>
      <c r="N103" s="36">
        <v>86.76639999999999</v>
      </c>
      <c r="O103" s="128">
        <f t="shared" si="3"/>
        <v>106.45369615999999</v>
      </c>
      <c r="P103" s="36">
        <v>151.18079999999998</v>
      </c>
      <c r="Q103" s="36">
        <v>34.302923519999993</v>
      </c>
      <c r="R103" s="89">
        <v>185.48372351999996</v>
      </c>
    </row>
    <row r="104" spans="2:18" x14ac:dyDescent="0.25">
      <c r="B104" s="111"/>
      <c r="C104" s="107"/>
      <c r="D104" s="107" t="s">
        <v>101</v>
      </c>
      <c r="E104" s="109" t="s">
        <v>134</v>
      </c>
      <c r="F104" s="112"/>
      <c r="G104" s="117"/>
      <c r="H104" s="117"/>
      <c r="I104" s="117"/>
      <c r="J104" s="117"/>
      <c r="K104" s="117"/>
      <c r="L104" s="117"/>
      <c r="M104" s="131">
        <f t="shared" si="2"/>
        <v>0</v>
      </c>
      <c r="N104" s="117"/>
      <c r="O104" s="131">
        <f t="shared" si="3"/>
        <v>0</v>
      </c>
      <c r="P104" s="117"/>
      <c r="Q104" s="113"/>
      <c r="R104" s="106">
        <v>22426.140465320001</v>
      </c>
    </row>
    <row r="105" spans="2:18" ht="76.5" x14ac:dyDescent="0.25">
      <c r="B105" s="71" t="s">
        <v>21</v>
      </c>
      <c r="C105" s="82">
        <v>99814</v>
      </c>
      <c r="D105" s="71" t="s">
        <v>102</v>
      </c>
      <c r="E105" s="72" t="s">
        <v>245</v>
      </c>
      <c r="F105" s="73" t="s">
        <v>32</v>
      </c>
      <c r="G105" s="76">
        <v>319.45499999999998</v>
      </c>
      <c r="H105" s="76"/>
      <c r="I105" s="76">
        <v>0.02</v>
      </c>
      <c r="J105" s="76">
        <v>1.99</v>
      </c>
      <c r="K105" s="76">
        <v>2.0099999999999998</v>
      </c>
      <c r="L105" s="76">
        <v>6.3891</v>
      </c>
      <c r="M105" s="126">
        <f t="shared" si="2"/>
        <v>7.8387867900000003</v>
      </c>
      <c r="N105" s="76">
        <v>635.71544999999992</v>
      </c>
      <c r="O105" s="126">
        <f t="shared" si="3"/>
        <v>779.95928560499999</v>
      </c>
      <c r="P105" s="76">
        <v>642.1045499999999</v>
      </c>
      <c r="Q105" s="76">
        <v>145.69352239499997</v>
      </c>
      <c r="R105" s="118">
        <v>787.79807239499985</v>
      </c>
    </row>
    <row r="106" spans="2:18" ht="51" x14ac:dyDescent="0.25">
      <c r="B106" s="67" t="s">
        <v>21</v>
      </c>
      <c r="C106" s="67">
        <v>100717</v>
      </c>
      <c r="D106" s="67" t="s">
        <v>103</v>
      </c>
      <c r="E106" s="33" t="s">
        <v>244</v>
      </c>
      <c r="F106" s="31" t="s">
        <v>32</v>
      </c>
      <c r="G106" s="37">
        <v>272.22999999999996</v>
      </c>
      <c r="H106" s="36"/>
      <c r="I106" s="36">
        <v>1.0900000000000001</v>
      </c>
      <c r="J106" s="36">
        <v>9</v>
      </c>
      <c r="K106" s="36">
        <v>10.09</v>
      </c>
      <c r="L106" s="37">
        <v>296.73069999999996</v>
      </c>
      <c r="M106" s="128">
        <f t="shared" si="2"/>
        <v>364.05889582999998</v>
      </c>
      <c r="N106" s="37">
        <v>2450.0699999999997</v>
      </c>
      <c r="O106" s="128">
        <f t="shared" si="3"/>
        <v>3005.9908829999999</v>
      </c>
      <c r="P106" s="37">
        <v>2746.8006999999998</v>
      </c>
      <c r="Q106" s="37">
        <v>623.24907882999992</v>
      </c>
      <c r="R106" s="43">
        <v>3370.0497788299999</v>
      </c>
    </row>
    <row r="107" spans="2:18" ht="89.25" x14ac:dyDescent="0.25">
      <c r="B107" s="67" t="s">
        <v>21</v>
      </c>
      <c r="C107" s="67">
        <v>100761</v>
      </c>
      <c r="D107" s="67" t="s">
        <v>113</v>
      </c>
      <c r="E107" s="33" t="s">
        <v>243</v>
      </c>
      <c r="F107" s="31" t="s">
        <v>32</v>
      </c>
      <c r="G107" s="36">
        <v>319.45499999999998</v>
      </c>
      <c r="H107" s="36"/>
      <c r="I107" s="36">
        <v>14.85</v>
      </c>
      <c r="J107" s="36">
        <v>31.76</v>
      </c>
      <c r="K107" s="36">
        <v>46.61</v>
      </c>
      <c r="L107" s="37">
        <v>4743.9067500000001</v>
      </c>
      <c r="M107" s="128">
        <f t="shared" si="2"/>
        <v>5820.2991915750008</v>
      </c>
      <c r="N107" s="37">
        <v>10145.890799999999</v>
      </c>
      <c r="O107" s="128">
        <f t="shared" si="3"/>
        <v>12447.99342252</v>
      </c>
      <c r="P107" s="37">
        <v>14889.797549999999</v>
      </c>
      <c r="Q107" s="37">
        <v>3378.4950640949996</v>
      </c>
      <c r="R107" s="43">
        <v>18268.292614095</v>
      </c>
    </row>
    <row r="108" spans="2:18" x14ac:dyDescent="0.25">
      <c r="B108" s="111"/>
      <c r="C108" s="107"/>
      <c r="D108" s="107" t="s">
        <v>114</v>
      </c>
      <c r="E108" s="109" t="s">
        <v>88</v>
      </c>
      <c r="F108" s="112"/>
      <c r="G108" s="117"/>
      <c r="H108" s="117"/>
      <c r="I108" s="117"/>
      <c r="J108" s="117"/>
      <c r="K108" s="117"/>
      <c r="L108" s="117"/>
      <c r="M108" s="131">
        <f t="shared" si="2"/>
        <v>0</v>
      </c>
      <c r="N108" s="117"/>
      <c r="O108" s="131">
        <f t="shared" si="3"/>
        <v>0</v>
      </c>
      <c r="P108" s="117"/>
      <c r="Q108" s="113"/>
      <c r="R108" s="106">
        <v>3328.4025356399998</v>
      </c>
    </row>
    <row r="109" spans="2:18" ht="25.5" x14ac:dyDescent="0.25">
      <c r="B109" s="71" t="s">
        <v>21</v>
      </c>
      <c r="C109" s="82">
        <v>99814</v>
      </c>
      <c r="D109" s="71" t="s">
        <v>115</v>
      </c>
      <c r="E109" s="72" t="s">
        <v>105</v>
      </c>
      <c r="F109" s="73" t="s">
        <v>32</v>
      </c>
      <c r="G109" s="76">
        <v>131.82</v>
      </c>
      <c r="H109" s="76"/>
      <c r="I109" s="76">
        <v>0.02</v>
      </c>
      <c r="J109" s="76">
        <v>1.99</v>
      </c>
      <c r="K109" s="76">
        <v>2.0099999999999998</v>
      </c>
      <c r="L109" s="76">
        <v>2.6364000000000001</v>
      </c>
      <c r="M109" s="126">
        <f t="shared" si="2"/>
        <v>3.2345991600000006</v>
      </c>
      <c r="N109" s="76">
        <v>262.3218</v>
      </c>
      <c r="O109" s="126">
        <f t="shared" si="3"/>
        <v>321.84261642000001</v>
      </c>
      <c r="P109" s="76">
        <v>264.95819999999998</v>
      </c>
      <c r="Q109" s="76">
        <v>60.119015579999996</v>
      </c>
      <c r="R109" s="118">
        <v>325.07721557999997</v>
      </c>
    </row>
    <row r="110" spans="2:18" ht="38.25" x14ac:dyDescent="0.25">
      <c r="B110" s="67" t="s">
        <v>21</v>
      </c>
      <c r="C110" s="67">
        <v>102491</v>
      </c>
      <c r="D110" s="67" t="s">
        <v>116</v>
      </c>
      <c r="E110" s="33" t="s">
        <v>106</v>
      </c>
      <c r="F110" s="31" t="s">
        <v>32</v>
      </c>
      <c r="G110" s="36">
        <v>131.82</v>
      </c>
      <c r="H110" s="36"/>
      <c r="I110" s="36">
        <v>7.71</v>
      </c>
      <c r="J110" s="36">
        <v>10.86</v>
      </c>
      <c r="K110" s="36">
        <v>18.57</v>
      </c>
      <c r="L110" s="37">
        <v>1016.3321999999999</v>
      </c>
      <c r="M110" s="128">
        <f t="shared" si="2"/>
        <v>1246.9379761800001</v>
      </c>
      <c r="N110" s="37">
        <v>1431.5651999999998</v>
      </c>
      <c r="O110" s="128">
        <f t="shared" si="3"/>
        <v>1756.3873438799999</v>
      </c>
      <c r="P110" s="37">
        <v>2447.8973999999998</v>
      </c>
      <c r="Q110" s="37">
        <v>555.42792005999991</v>
      </c>
      <c r="R110" s="43">
        <v>3003.3253200599997</v>
      </c>
    </row>
    <row r="111" spans="2:18" x14ac:dyDescent="0.25">
      <c r="B111" s="83"/>
      <c r="C111" s="84"/>
      <c r="D111" s="84">
        <v>4</v>
      </c>
      <c r="E111" s="85" t="s">
        <v>89</v>
      </c>
      <c r="F111" s="85"/>
      <c r="G111" s="85"/>
      <c r="H111" s="85"/>
      <c r="I111" s="85"/>
      <c r="J111" s="85"/>
      <c r="K111" s="85"/>
      <c r="L111" s="85"/>
      <c r="M111" s="130">
        <f t="shared" si="2"/>
        <v>0</v>
      </c>
      <c r="N111" s="85"/>
      <c r="O111" s="130">
        <f t="shared" si="3"/>
        <v>0</v>
      </c>
      <c r="P111" s="85"/>
      <c r="Q111" s="85"/>
      <c r="R111" s="86">
        <v>19854.023051037002</v>
      </c>
    </row>
    <row r="112" spans="2:18" x14ac:dyDescent="0.25">
      <c r="B112" s="100"/>
      <c r="C112" s="101"/>
      <c r="D112" s="102" t="s">
        <v>40</v>
      </c>
      <c r="E112" s="103" t="s">
        <v>90</v>
      </c>
      <c r="F112" s="104"/>
      <c r="G112" s="110"/>
      <c r="H112" s="110"/>
      <c r="I112" s="110"/>
      <c r="J112" s="110"/>
      <c r="K112" s="110"/>
      <c r="L112" s="110"/>
      <c r="M112" s="127">
        <f t="shared" si="2"/>
        <v>0</v>
      </c>
      <c r="N112" s="110"/>
      <c r="O112" s="127">
        <f t="shared" si="3"/>
        <v>0</v>
      </c>
      <c r="P112" s="110"/>
      <c r="Q112" s="105"/>
      <c r="R112" s="106">
        <v>12757.168210557</v>
      </c>
    </row>
    <row r="113" spans="2:18" x14ac:dyDescent="0.25">
      <c r="B113" s="67" t="s">
        <v>21</v>
      </c>
      <c r="C113" s="67">
        <v>88495</v>
      </c>
      <c r="D113" s="32" t="s">
        <v>110</v>
      </c>
      <c r="E113" s="33" t="s">
        <v>111</v>
      </c>
      <c r="F113" s="31" t="s">
        <v>32</v>
      </c>
      <c r="G113" s="36">
        <v>105.14100000000001</v>
      </c>
      <c r="H113" s="36"/>
      <c r="I113" s="36">
        <v>2.68</v>
      </c>
      <c r="J113" s="36">
        <v>9.25</v>
      </c>
      <c r="K113" s="36">
        <v>11.93</v>
      </c>
      <c r="L113" s="36">
        <v>281.77788000000004</v>
      </c>
      <c r="M113" s="128">
        <f t="shared" si="2"/>
        <v>345.71328097200006</v>
      </c>
      <c r="N113" s="36">
        <v>972.55425000000002</v>
      </c>
      <c r="O113" s="128">
        <f t="shared" si="3"/>
        <v>1193.2268093250002</v>
      </c>
      <c r="P113" s="36">
        <v>1254.33213</v>
      </c>
      <c r="Q113" s="36">
        <v>284.60796029699998</v>
      </c>
      <c r="R113" s="89">
        <v>1538.9400902970001</v>
      </c>
    </row>
    <row r="114" spans="2:18" ht="25.5" x14ac:dyDescent="0.25">
      <c r="B114" s="67" t="s">
        <v>21</v>
      </c>
      <c r="C114" s="67">
        <v>88489</v>
      </c>
      <c r="D114" s="32" t="s">
        <v>112</v>
      </c>
      <c r="E114" s="33" t="s">
        <v>185</v>
      </c>
      <c r="F114" s="31" t="s">
        <v>32</v>
      </c>
      <c r="G114" s="36">
        <v>806.31</v>
      </c>
      <c r="H114" s="36"/>
      <c r="I114" s="36">
        <v>5.2</v>
      </c>
      <c r="J114" s="36">
        <v>6.14</v>
      </c>
      <c r="K114" s="36">
        <v>11.34</v>
      </c>
      <c r="L114" s="36">
        <v>4192.8119999999999</v>
      </c>
      <c r="M114" s="128">
        <f t="shared" si="2"/>
        <v>5144.1610428000004</v>
      </c>
      <c r="N114" s="36">
        <v>4950.7433999999994</v>
      </c>
      <c r="O114" s="128">
        <f t="shared" si="3"/>
        <v>6074.0670774599994</v>
      </c>
      <c r="P114" s="36">
        <v>9143.5553999999993</v>
      </c>
      <c r="Q114" s="36">
        <v>2074.6727202599996</v>
      </c>
      <c r="R114" s="89">
        <v>11218.228120259999</v>
      </c>
    </row>
    <row r="115" spans="2:18" x14ac:dyDescent="0.25">
      <c r="B115" s="100"/>
      <c r="C115" s="101"/>
      <c r="D115" s="102" t="s">
        <v>69</v>
      </c>
      <c r="E115" s="103" t="s">
        <v>91</v>
      </c>
      <c r="F115" s="104"/>
      <c r="G115" s="110"/>
      <c r="H115" s="110"/>
      <c r="I115" s="110"/>
      <c r="J115" s="110"/>
      <c r="K115" s="110"/>
      <c r="L115" s="110"/>
      <c r="M115" s="127">
        <f t="shared" si="2"/>
        <v>0</v>
      </c>
      <c r="N115" s="110"/>
      <c r="O115" s="127">
        <f t="shared" si="3"/>
        <v>0</v>
      </c>
      <c r="P115" s="110"/>
      <c r="Q115" s="105"/>
      <c r="R115" s="106">
        <v>119.46227148</v>
      </c>
    </row>
    <row r="116" spans="2:18" x14ac:dyDescent="0.25">
      <c r="B116" s="67" t="s">
        <v>21</v>
      </c>
      <c r="C116" s="67">
        <v>88494</v>
      </c>
      <c r="D116" s="32" t="s">
        <v>82</v>
      </c>
      <c r="E116" s="33" t="s">
        <v>109</v>
      </c>
      <c r="F116" s="31" t="s">
        <v>32</v>
      </c>
      <c r="G116" s="36">
        <v>0.6120000000000001</v>
      </c>
      <c r="H116" s="36"/>
      <c r="I116" s="36">
        <v>2.68</v>
      </c>
      <c r="J116" s="36">
        <v>19.02</v>
      </c>
      <c r="K116" s="36">
        <v>21.7</v>
      </c>
      <c r="L116" s="36">
        <v>1.6401600000000003</v>
      </c>
      <c r="M116" s="128">
        <f t="shared" si="2"/>
        <v>2.0123123040000004</v>
      </c>
      <c r="N116" s="36">
        <v>11.640240000000002</v>
      </c>
      <c r="O116" s="128">
        <f t="shared" si="3"/>
        <v>14.281410456000003</v>
      </c>
      <c r="P116" s="36">
        <v>13.280400000000002</v>
      </c>
      <c r="Q116" s="36">
        <v>3.0133227600000003</v>
      </c>
      <c r="R116" s="89">
        <v>16.293722760000001</v>
      </c>
    </row>
    <row r="117" spans="2:18" x14ac:dyDescent="0.25">
      <c r="B117" s="67" t="s">
        <v>21</v>
      </c>
      <c r="C117" s="67">
        <v>88488</v>
      </c>
      <c r="D117" s="32" t="s">
        <v>83</v>
      </c>
      <c r="E117" s="33" t="s">
        <v>189</v>
      </c>
      <c r="F117" s="31" t="s">
        <v>32</v>
      </c>
      <c r="G117" s="36">
        <v>6.12</v>
      </c>
      <c r="H117" s="36"/>
      <c r="I117" s="36">
        <v>5.2</v>
      </c>
      <c r="J117" s="36">
        <v>8.5399999999999991</v>
      </c>
      <c r="K117" s="36">
        <v>13.739999999999998</v>
      </c>
      <c r="L117" s="36">
        <v>31.824000000000002</v>
      </c>
      <c r="M117" s="128">
        <f t="shared" si="2"/>
        <v>39.044865600000008</v>
      </c>
      <c r="N117" s="36">
        <v>52.264799999999994</v>
      </c>
      <c r="O117" s="128">
        <f t="shared" si="3"/>
        <v>64.123683119999995</v>
      </c>
      <c r="P117" s="36">
        <v>84.088799999999992</v>
      </c>
      <c r="Q117" s="36">
        <v>19.079748719999998</v>
      </c>
      <c r="R117" s="89">
        <v>103.16854871999999</v>
      </c>
    </row>
    <row r="118" spans="2:18" x14ac:dyDescent="0.25">
      <c r="B118" s="100"/>
      <c r="C118" s="101"/>
      <c r="D118" s="102" t="s">
        <v>70</v>
      </c>
      <c r="E118" s="103" t="s">
        <v>134</v>
      </c>
      <c r="F118" s="104"/>
      <c r="G118" s="110"/>
      <c r="H118" s="110"/>
      <c r="I118" s="110"/>
      <c r="J118" s="110"/>
      <c r="K118" s="110"/>
      <c r="L118" s="110"/>
      <c r="M118" s="127">
        <f t="shared" si="2"/>
        <v>0</v>
      </c>
      <c r="N118" s="110"/>
      <c r="O118" s="127">
        <f t="shared" si="3"/>
        <v>0</v>
      </c>
      <c r="P118" s="110"/>
      <c r="Q118" s="105"/>
      <c r="R118" s="106">
        <v>6977.3925689999996</v>
      </c>
    </row>
    <row r="119" spans="2:18" ht="38.25" x14ac:dyDescent="0.25">
      <c r="B119" s="67" t="s">
        <v>21</v>
      </c>
      <c r="C119" s="67">
        <v>100717</v>
      </c>
      <c r="D119" s="67" t="s">
        <v>107</v>
      </c>
      <c r="E119" s="33" t="s">
        <v>239</v>
      </c>
      <c r="F119" s="31" t="s">
        <v>32</v>
      </c>
      <c r="G119" s="36">
        <v>100.3</v>
      </c>
      <c r="H119" s="36"/>
      <c r="I119" s="36">
        <v>1.0900000000000001</v>
      </c>
      <c r="J119" s="36">
        <v>9</v>
      </c>
      <c r="K119" s="36">
        <v>10.09</v>
      </c>
      <c r="L119" s="37">
        <v>109.327</v>
      </c>
      <c r="M119" s="128">
        <f t="shared" si="2"/>
        <v>134.13329630000001</v>
      </c>
      <c r="N119" s="37">
        <v>902.69999999999993</v>
      </c>
      <c r="O119" s="128">
        <f t="shared" si="3"/>
        <v>1107.5226299999999</v>
      </c>
      <c r="P119" s="37">
        <v>1012.0269999999999</v>
      </c>
      <c r="Q119" s="37">
        <v>229.62892629999996</v>
      </c>
      <c r="R119" s="43">
        <v>1241.6559262999999</v>
      </c>
    </row>
    <row r="120" spans="2:18" ht="51" x14ac:dyDescent="0.25">
      <c r="B120" s="67" t="s">
        <v>21</v>
      </c>
      <c r="C120" s="67">
        <v>100761</v>
      </c>
      <c r="D120" s="67" t="s">
        <v>108</v>
      </c>
      <c r="E120" s="33" t="s">
        <v>240</v>
      </c>
      <c r="F120" s="31" t="s">
        <v>32</v>
      </c>
      <c r="G120" s="36">
        <v>100.3</v>
      </c>
      <c r="H120" s="36"/>
      <c r="I120" s="36">
        <v>14.85</v>
      </c>
      <c r="J120" s="36">
        <v>31.76</v>
      </c>
      <c r="K120" s="36">
        <v>46.61</v>
      </c>
      <c r="L120" s="37">
        <v>1489.4549999999999</v>
      </c>
      <c r="M120" s="128">
        <f t="shared" si="2"/>
        <v>1827.4123395000001</v>
      </c>
      <c r="N120" s="37">
        <v>3185.5280000000002</v>
      </c>
      <c r="O120" s="128">
        <f t="shared" si="3"/>
        <v>3908.3243032000005</v>
      </c>
      <c r="P120" s="37">
        <v>4674.9830000000002</v>
      </c>
      <c r="Q120" s="37">
        <v>1060.7536427</v>
      </c>
      <c r="R120" s="43">
        <v>5735.7366426999997</v>
      </c>
    </row>
    <row r="121" spans="2:18" x14ac:dyDescent="0.25">
      <c r="B121" s="83"/>
      <c r="C121" s="84"/>
      <c r="D121" s="84">
        <v>5</v>
      </c>
      <c r="E121" s="85" t="s">
        <v>92</v>
      </c>
      <c r="F121" s="85"/>
      <c r="G121" s="85"/>
      <c r="H121" s="85"/>
      <c r="I121" s="85"/>
      <c r="J121" s="85"/>
      <c r="K121" s="85"/>
      <c r="L121" s="85"/>
      <c r="M121" s="130">
        <f t="shared" si="2"/>
        <v>0</v>
      </c>
      <c r="N121" s="85"/>
      <c r="O121" s="130">
        <f t="shared" si="3"/>
        <v>0</v>
      </c>
      <c r="P121" s="85"/>
      <c r="Q121" s="85"/>
      <c r="R121" s="86">
        <v>4091.5004053845864</v>
      </c>
    </row>
    <row r="122" spans="2:18" ht="25.5" x14ac:dyDescent="0.25">
      <c r="B122" s="100"/>
      <c r="C122" s="101"/>
      <c r="D122" s="102" t="s">
        <v>26</v>
      </c>
      <c r="E122" s="103" t="s">
        <v>93</v>
      </c>
      <c r="F122" s="104"/>
      <c r="G122" s="110"/>
      <c r="H122" s="110"/>
      <c r="I122" s="110"/>
      <c r="J122" s="110"/>
      <c r="K122" s="110"/>
      <c r="L122" s="110"/>
      <c r="M122" s="127">
        <f t="shared" si="2"/>
        <v>0</v>
      </c>
      <c r="N122" s="110"/>
      <c r="O122" s="127">
        <f t="shared" si="3"/>
        <v>0</v>
      </c>
      <c r="P122" s="110"/>
      <c r="Q122" s="105"/>
      <c r="R122" s="106">
        <v>516.917508</v>
      </c>
    </row>
    <row r="123" spans="2:18" ht="38.25" x14ac:dyDescent="0.25">
      <c r="B123" s="59"/>
      <c r="C123" s="67" t="s">
        <v>39</v>
      </c>
      <c r="D123" s="32" t="s">
        <v>126</v>
      </c>
      <c r="E123" s="33" t="s">
        <v>120</v>
      </c>
      <c r="F123" s="31" t="s">
        <v>24</v>
      </c>
      <c r="G123" s="36">
        <v>2</v>
      </c>
      <c r="H123" s="36"/>
      <c r="I123" s="36">
        <v>86.75</v>
      </c>
      <c r="J123" s="36">
        <v>123.91</v>
      </c>
      <c r="K123" s="36">
        <v>210.66</v>
      </c>
      <c r="L123" s="37">
        <v>173.5</v>
      </c>
      <c r="M123" s="128">
        <f t="shared" si="2"/>
        <v>212.86715000000001</v>
      </c>
      <c r="N123" s="37">
        <v>247.82</v>
      </c>
      <c r="O123" s="128">
        <f t="shared" si="3"/>
        <v>304.05035800000002</v>
      </c>
      <c r="P123" s="37">
        <v>421.32</v>
      </c>
      <c r="Q123" s="36">
        <v>95.597507999999991</v>
      </c>
      <c r="R123" s="43">
        <v>516.917508</v>
      </c>
    </row>
    <row r="124" spans="2:18" x14ac:dyDescent="0.25">
      <c r="B124" s="100"/>
      <c r="C124" s="101"/>
      <c r="D124" s="102" t="s">
        <v>73</v>
      </c>
      <c r="E124" s="103" t="s">
        <v>178</v>
      </c>
      <c r="F124" s="104"/>
      <c r="G124" s="110"/>
      <c r="H124" s="110"/>
      <c r="I124" s="110"/>
      <c r="J124" s="110"/>
      <c r="K124" s="110"/>
      <c r="L124" s="110"/>
      <c r="M124" s="127">
        <f t="shared" si="2"/>
        <v>0</v>
      </c>
      <c r="N124" s="110"/>
      <c r="O124" s="127">
        <f t="shared" si="3"/>
        <v>0</v>
      </c>
      <c r="P124" s="110"/>
      <c r="Q124" s="105"/>
      <c r="R124" s="106">
        <v>2107.3841043845864</v>
      </c>
    </row>
    <row r="125" spans="2:18" ht="25.5" x14ac:dyDescent="0.25">
      <c r="B125" s="59"/>
      <c r="C125" s="67" t="s">
        <v>39</v>
      </c>
      <c r="D125" s="32" t="s">
        <v>121</v>
      </c>
      <c r="E125" s="33" t="s">
        <v>177</v>
      </c>
      <c r="F125" s="31" t="s">
        <v>24</v>
      </c>
      <c r="G125" s="36">
        <v>1</v>
      </c>
      <c r="H125" s="36"/>
      <c r="I125" s="36">
        <v>86.75</v>
      </c>
      <c r="J125" s="36">
        <v>99.41</v>
      </c>
      <c r="K125" s="36">
        <v>186.16</v>
      </c>
      <c r="L125" s="37">
        <v>86.75</v>
      </c>
      <c r="M125" s="128">
        <f t="shared" si="2"/>
        <v>106.433575</v>
      </c>
      <c r="N125" s="37">
        <v>99.41</v>
      </c>
      <c r="O125" s="128">
        <f t="shared" si="3"/>
        <v>121.96612900000001</v>
      </c>
      <c r="P125" s="37">
        <v>186.16</v>
      </c>
      <c r="Q125" s="36">
        <v>42.239703999999996</v>
      </c>
      <c r="R125" s="43">
        <v>228.39970399999999</v>
      </c>
    </row>
    <row r="126" spans="2:18" ht="25.5" x14ac:dyDescent="0.25">
      <c r="B126" s="59" t="s">
        <v>22</v>
      </c>
      <c r="C126" s="67" t="s">
        <v>59</v>
      </c>
      <c r="D126" s="32" t="s">
        <v>122</v>
      </c>
      <c r="E126" s="33" t="s">
        <v>175</v>
      </c>
      <c r="F126" s="31" t="s">
        <v>34</v>
      </c>
      <c r="G126" s="36">
        <v>7.31</v>
      </c>
      <c r="H126" s="36"/>
      <c r="I126" s="36">
        <v>18.190000000000001</v>
      </c>
      <c r="J126" s="36">
        <v>3.96</v>
      </c>
      <c r="K126" s="36">
        <v>22.150000000000002</v>
      </c>
      <c r="L126" s="37">
        <v>132.96889999999999</v>
      </c>
      <c r="M126" s="128">
        <f t="shared" si="2"/>
        <v>163.13954341000002</v>
      </c>
      <c r="N126" s="37">
        <v>28.947599999999998</v>
      </c>
      <c r="O126" s="128">
        <f t="shared" si="3"/>
        <v>35.515810440000003</v>
      </c>
      <c r="P126" s="37">
        <v>161.91649999999998</v>
      </c>
      <c r="Q126" s="36">
        <v>36.738853849999998</v>
      </c>
      <c r="R126" s="43">
        <v>198.65535384999998</v>
      </c>
    </row>
    <row r="127" spans="2:18" ht="25.5" x14ac:dyDescent="0.25">
      <c r="B127" s="59" t="s">
        <v>22</v>
      </c>
      <c r="C127" s="67" t="s">
        <v>60</v>
      </c>
      <c r="D127" s="32" t="s">
        <v>123</v>
      </c>
      <c r="E127" s="33" t="s">
        <v>176</v>
      </c>
      <c r="F127" s="31" t="s">
        <v>34</v>
      </c>
      <c r="G127" s="36">
        <v>7.31</v>
      </c>
      <c r="H127" s="36"/>
      <c r="I127" s="36">
        <v>33.81</v>
      </c>
      <c r="J127" s="36">
        <v>5.08</v>
      </c>
      <c r="K127" s="36">
        <v>38.89</v>
      </c>
      <c r="L127" s="37">
        <v>247.15110000000001</v>
      </c>
      <c r="M127" s="128">
        <f t="shared" si="2"/>
        <v>303.22968459000003</v>
      </c>
      <c r="N127" s="37">
        <v>37.134799999999998</v>
      </c>
      <c r="O127" s="128">
        <f t="shared" si="3"/>
        <v>45.56068612</v>
      </c>
      <c r="P127" s="37">
        <v>284.28590000000003</v>
      </c>
      <c r="Q127" s="36">
        <v>64.504470710000007</v>
      </c>
      <c r="R127" s="43">
        <v>348.79037071000005</v>
      </c>
    </row>
    <row r="128" spans="2:18" ht="38.25" x14ac:dyDescent="0.25">
      <c r="B128" s="59"/>
      <c r="C128" s="67" t="s">
        <v>39</v>
      </c>
      <c r="D128" s="32" t="s">
        <v>226</v>
      </c>
      <c r="E128" s="33" t="s">
        <v>124</v>
      </c>
      <c r="F128" s="31" t="s">
        <v>34</v>
      </c>
      <c r="G128" s="36">
        <v>7.31</v>
      </c>
      <c r="H128" s="36"/>
      <c r="I128" s="36">
        <v>10.79</v>
      </c>
      <c r="J128" s="36">
        <v>8.01</v>
      </c>
      <c r="K128" s="36">
        <v>18.799999999999997</v>
      </c>
      <c r="L128" s="37">
        <v>78.874899999999982</v>
      </c>
      <c r="M128" s="128">
        <f t="shared" si="2"/>
        <v>96.771614809999988</v>
      </c>
      <c r="N128" s="37">
        <v>58.553099999999993</v>
      </c>
      <c r="O128" s="128">
        <f t="shared" si="3"/>
        <v>71.838798389999994</v>
      </c>
      <c r="P128" s="37">
        <v>137.42799999999997</v>
      </c>
      <c r="Q128" s="36">
        <v>31.182413199999992</v>
      </c>
      <c r="R128" s="43">
        <v>168.61041319999995</v>
      </c>
    </row>
    <row r="129" spans="2:18" ht="25.5" x14ac:dyDescent="0.25">
      <c r="B129" s="59"/>
      <c r="C129" s="67" t="s">
        <v>39</v>
      </c>
      <c r="D129" s="32" t="s">
        <v>227</v>
      </c>
      <c r="E129" s="33" t="s">
        <v>328</v>
      </c>
      <c r="F129" s="31" t="s">
        <v>24</v>
      </c>
      <c r="G129" s="36">
        <v>1</v>
      </c>
      <c r="H129" s="36"/>
      <c r="I129" s="36">
        <v>37.520000000000003</v>
      </c>
      <c r="J129" s="36">
        <v>131.4</v>
      </c>
      <c r="K129" s="36">
        <v>168.92000000000002</v>
      </c>
      <c r="L129" s="37">
        <v>37.520000000000003</v>
      </c>
      <c r="M129" s="128">
        <f t="shared" si="2"/>
        <v>46.033288000000006</v>
      </c>
      <c r="N129" s="37">
        <v>131.4</v>
      </c>
      <c r="O129" s="128">
        <f t="shared" si="3"/>
        <v>161.21466000000001</v>
      </c>
      <c r="P129" s="37">
        <v>168.92000000000002</v>
      </c>
      <c r="Q129" s="36">
        <v>38.327947999999999</v>
      </c>
      <c r="R129" s="43">
        <v>207.24794800000001</v>
      </c>
    </row>
    <row r="130" spans="2:18" ht="25.5" x14ac:dyDescent="0.25">
      <c r="B130" s="59" t="s">
        <v>21</v>
      </c>
      <c r="C130" s="67">
        <v>90438</v>
      </c>
      <c r="D130" s="32" t="s">
        <v>228</v>
      </c>
      <c r="E130" s="33" t="s">
        <v>337</v>
      </c>
      <c r="F130" s="31" t="s">
        <v>24</v>
      </c>
      <c r="G130" s="36">
        <v>2</v>
      </c>
      <c r="H130" s="36"/>
      <c r="I130" s="36">
        <v>0</v>
      </c>
      <c r="J130" s="36">
        <v>59.22</v>
      </c>
      <c r="K130" s="36">
        <v>59.22</v>
      </c>
      <c r="L130" s="37">
        <v>0</v>
      </c>
      <c r="M130" s="128">
        <f t="shared" si="2"/>
        <v>0</v>
      </c>
      <c r="N130" s="37">
        <v>118.44</v>
      </c>
      <c r="O130" s="128">
        <f t="shared" si="3"/>
        <v>145.31403600000002</v>
      </c>
      <c r="P130" s="37">
        <v>118.44</v>
      </c>
      <c r="Q130" s="36">
        <v>26.874035999999997</v>
      </c>
      <c r="R130" s="43">
        <v>145.31403599999999</v>
      </c>
    </row>
    <row r="131" spans="2:18" ht="30" x14ac:dyDescent="0.25">
      <c r="B131" s="94" t="s">
        <v>21</v>
      </c>
      <c r="C131" s="95">
        <v>96370</v>
      </c>
      <c r="D131" s="95" t="s">
        <v>309</v>
      </c>
      <c r="E131" s="96" t="s">
        <v>125</v>
      </c>
      <c r="F131" s="95" t="s">
        <v>32</v>
      </c>
      <c r="G131" s="119">
        <v>4</v>
      </c>
      <c r="H131" s="97"/>
      <c r="I131" s="98">
        <v>42.176594637000001</v>
      </c>
      <c r="J131" s="98">
        <v>11.163166677000001</v>
      </c>
      <c r="K131" s="98">
        <v>53.34</v>
      </c>
      <c r="L131" s="98">
        <v>168.706378548</v>
      </c>
      <c r="M131" s="132">
        <f t="shared" si="2"/>
        <v>206.98585584054123</v>
      </c>
      <c r="N131" s="98">
        <v>44.652666708000005</v>
      </c>
      <c r="O131" s="132">
        <f t="shared" si="3"/>
        <v>54.784356784045208</v>
      </c>
      <c r="P131" s="98">
        <v>213.359045256</v>
      </c>
      <c r="Q131" s="36">
        <v>48.411167368586398</v>
      </c>
      <c r="R131" s="99">
        <v>261.77021262458641</v>
      </c>
    </row>
    <row r="132" spans="2:18" x14ac:dyDescent="0.25">
      <c r="B132" s="67" t="s">
        <v>21</v>
      </c>
      <c r="C132" s="67">
        <v>88495</v>
      </c>
      <c r="D132" s="32" t="s">
        <v>329</v>
      </c>
      <c r="E132" s="33" t="s">
        <v>111</v>
      </c>
      <c r="F132" s="31" t="s">
        <v>32</v>
      </c>
      <c r="G132" s="36">
        <v>4</v>
      </c>
      <c r="H132" s="36"/>
      <c r="I132" s="36">
        <v>2.68</v>
      </c>
      <c r="J132" s="36">
        <v>9.25</v>
      </c>
      <c r="K132" s="36">
        <v>11.93</v>
      </c>
      <c r="L132" s="36">
        <v>10.72</v>
      </c>
      <c r="M132" s="128">
        <f t="shared" si="2"/>
        <v>13.152368000000003</v>
      </c>
      <c r="N132" s="36">
        <v>37</v>
      </c>
      <c r="O132" s="128">
        <f t="shared" si="3"/>
        <v>45.395300000000006</v>
      </c>
      <c r="P132" s="36">
        <v>47.72</v>
      </c>
      <c r="Q132" s="36">
        <v>10.827667999999999</v>
      </c>
      <c r="R132" s="89">
        <v>58.547668000000002</v>
      </c>
    </row>
    <row r="133" spans="2:18" x14ac:dyDescent="0.25">
      <c r="B133" s="67" t="s">
        <v>21</v>
      </c>
      <c r="C133" s="67"/>
      <c r="D133" s="32" t="s">
        <v>336</v>
      </c>
      <c r="E133" s="33" t="s">
        <v>310</v>
      </c>
      <c r="F133" s="31" t="s">
        <v>311</v>
      </c>
      <c r="G133" s="36">
        <v>1</v>
      </c>
      <c r="H133" s="36"/>
      <c r="I133" s="36">
        <v>292.49</v>
      </c>
      <c r="J133" s="36">
        <v>106.93</v>
      </c>
      <c r="K133" s="36">
        <v>399.42</v>
      </c>
      <c r="L133" s="37">
        <v>292.49</v>
      </c>
      <c r="M133" s="128">
        <f t="shared" si="2"/>
        <v>358.85598100000004</v>
      </c>
      <c r="N133" s="37">
        <v>106.93</v>
      </c>
      <c r="O133" s="128">
        <f t="shared" si="3"/>
        <v>131.19241700000001</v>
      </c>
      <c r="P133" s="37">
        <v>399.42</v>
      </c>
      <c r="Q133" s="37">
        <v>90.628398000000004</v>
      </c>
      <c r="R133" s="43">
        <v>490.04839800000002</v>
      </c>
    </row>
    <row r="134" spans="2:18" x14ac:dyDescent="0.25">
      <c r="B134" s="100"/>
      <c r="C134" s="101"/>
      <c r="D134" s="102" t="s">
        <v>77</v>
      </c>
      <c r="E134" s="103" t="s">
        <v>95</v>
      </c>
      <c r="F134" s="104"/>
      <c r="G134" s="110"/>
      <c r="H134" s="110"/>
      <c r="I134" s="110"/>
      <c r="J134" s="110"/>
      <c r="K134" s="110"/>
      <c r="L134" s="110"/>
      <c r="M134" s="127">
        <f t="shared" si="2"/>
        <v>0</v>
      </c>
      <c r="N134" s="110"/>
      <c r="O134" s="127">
        <f t="shared" si="3"/>
        <v>0</v>
      </c>
      <c r="P134" s="110"/>
      <c r="Q134" s="105"/>
      <c r="R134" s="106">
        <v>1467.198793</v>
      </c>
    </row>
    <row r="135" spans="2:18" ht="25.5" x14ac:dyDescent="0.25">
      <c r="B135" s="59"/>
      <c r="C135" s="67"/>
      <c r="D135" s="32" t="s">
        <v>118</v>
      </c>
      <c r="E135" s="33" t="s">
        <v>250</v>
      </c>
      <c r="F135" s="31" t="s">
        <v>24</v>
      </c>
      <c r="G135" s="36">
        <v>1</v>
      </c>
      <c r="H135" s="36"/>
      <c r="I135" s="36">
        <v>804.05</v>
      </c>
      <c r="J135" s="36">
        <v>0</v>
      </c>
      <c r="K135" s="36">
        <v>804.05</v>
      </c>
      <c r="L135" s="37">
        <v>804.05</v>
      </c>
      <c r="M135" s="128">
        <f>IF(L135&lt;&gt;0,L135*(1+$Q$8),0)</f>
        <v>926.90883999999994</v>
      </c>
      <c r="N135" s="37">
        <v>0</v>
      </c>
      <c r="O135" s="128">
        <f t="shared" si="3"/>
        <v>0</v>
      </c>
      <c r="P135" s="37">
        <v>804.05</v>
      </c>
      <c r="Q135" s="36">
        <v>122.85883999999999</v>
      </c>
      <c r="R135" s="43">
        <v>926.90883999999994</v>
      </c>
    </row>
    <row r="136" spans="2:18" x14ac:dyDescent="0.25">
      <c r="B136" s="59"/>
      <c r="C136" s="67"/>
      <c r="D136" s="32" t="s">
        <v>119</v>
      </c>
      <c r="E136" s="33" t="s">
        <v>312</v>
      </c>
      <c r="F136" s="31" t="s">
        <v>311</v>
      </c>
      <c r="G136" s="36">
        <v>1</v>
      </c>
      <c r="H136" s="36"/>
      <c r="I136" s="36">
        <v>333.44</v>
      </c>
      <c r="J136" s="36">
        <v>106.93</v>
      </c>
      <c r="K136" s="36">
        <v>440.37</v>
      </c>
      <c r="L136" s="37">
        <v>333.44</v>
      </c>
      <c r="M136" s="128">
        <f t="shared" si="2"/>
        <v>409.09753600000005</v>
      </c>
      <c r="N136" s="37">
        <v>106.93</v>
      </c>
      <c r="O136" s="128">
        <f t="shared" si="3"/>
        <v>131.19241700000001</v>
      </c>
      <c r="P136" s="37">
        <v>440.37</v>
      </c>
      <c r="Q136" s="36">
        <v>99.919952999999992</v>
      </c>
      <c r="R136" s="43">
        <v>540.28995299999997</v>
      </c>
    </row>
    <row r="137" spans="2:18" x14ac:dyDescent="0.25">
      <c r="B137" s="83"/>
      <c r="C137" s="84"/>
      <c r="D137" s="90">
        <v>6</v>
      </c>
      <c r="E137" s="85" t="s">
        <v>65</v>
      </c>
      <c r="F137" s="85"/>
      <c r="G137" s="85"/>
      <c r="H137" s="85"/>
      <c r="I137" s="85"/>
      <c r="J137" s="85"/>
      <c r="K137" s="85"/>
      <c r="L137" s="85"/>
      <c r="M137" s="130">
        <f t="shared" si="2"/>
        <v>0</v>
      </c>
      <c r="N137" s="85"/>
      <c r="O137" s="130">
        <f t="shared" si="3"/>
        <v>0</v>
      </c>
      <c r="P137" s="85"/>
      <c r="Q137" s="85"/>
      <c r="R137" s="86">
        <v>4970.8466949999993</v>
      </c>
    </row>
    <row r="138" spans="2:18" x14ac:dyDescent="0.25">
      <c r="B138" s="100"/>
      <c r="C138" s="101"/>
      <c r="D138" s="102" t="s">
        <v>75</v>
      </c>
      <c r="E138" s="103" t="s">
        <v>179</v>
      </c>
      <c r="F138" s="104"/>
      <c r="G138" s="110"/>
      <c r="H138" s="110"/>
      <c r="I138" s="110"/>
      <c r="J138" s="110"/>
      <c r="K138" s="110"/>
      <c r="L138" s="110"/>
      <c r="M138" s="127">
        <f t="shared" si="2"/>
        <v>0</v>
      </c>
      <c r="N138" s="110"/>
      <c r="O138" s="127">
        <f t="shared" si="3"/>
        <v>0</v>
      </c>
      <c r="P138" s="110"/>
      <c r="Q138" s="105"/>
      <c r="R138" s="106">
        <v>4547.3821599999992</v>
      </c>
    </row>
    <row r="139" spans="2:18" ht="25.5" x14ac:dyDescent="0.25">
      <c r="B139" s="67" t="s">
        <v>39</v>
      </c>
      <c r="C139" s="67"/>
      <c r="D139" s="32" t="s">
        <v>117</v>
      </c>
      <c r="E139" s="33" t="s">
        <v>247</v>
      </c>
      <c r="F139" s="31" t="s">
        <v>34</v>
      </c>
      <c r="G139" s="36">
        <v>65.599999999999994</v>
      </c>
      <c r="H139" s="36"/>
      <c r="I139" s="36">
        <v>37.79</v>
      </c>
      <c r="J139" s="36">
        <v>18.71</v>
      </c>
      <c r="K139" s="36">
        <v>56.5</v>
      </c>
      <c r="L139" s="37">
        <v>2479.0239999999999</v>
      </c>
      <c r="M139" s="128">
        <f t="shared" si="2"/>
        <v>3041.5145456</v>
      </c>
      <c r="N139" s="37">
        <v>1227.376</v>
      </c>
      <c r="O139" s="128">
        <f t="shared" si="3"/>
        <v>1505.8676144000001</v>
      </c>
      <c r="P139" s="37">
        <v>3706.3999999999996</v>
      </c>
      <c r="Q139" s="37">
        <v>840.98215999999991</v>
      </c>
      <c r="R139" s="43">
        <v>4547.3821599999992</v>
      </c>
    </row>
    <row r="140" spans="2:18" x14ac:dyDescent="0.25">
      <c r="B140" s="100"/>
      <c r="C140" s="101"/>
      <c r="D140" s="102" t="s">
        <v>324</v>
      </c>
      <c r="E140" s="103" t="s">
        <v>325</v>
      </c>
      <c r="F140" s="104"/>
      <c r="G140" s="110"/>
      <c r="H140" s="110"/>
      <c r="I140" s="110"/>
      <c r="J140" s="110"/>
      <c r="K140" s="110"/>
      <c r="L140" s="110"/>
      <c r="M140" s="127">
        <f t="shared" si="2"/>
        <v>0</v>
      </c>
      <c r="N140" s="110"/>
      <c r="O140" s="127">
        <f t="shared" si="3"/>
        <v>0</v>
      </c>
      <c r="P140" s="110"/>
      <c r="Q140" s="105"/>
      <c r="R140" s="106">
        <v>423.46453499999996</v>
      </c>
    </row>
    <row r="141" spans="2:18" x14ac:dyDescent="0.25">
      <c r="B141" s="67"/>
      <c r="C141" s="67"/>
      <c r="D141" s="32" t="s">
        <v>326</v>
      </c>
      <c r="E141" s="33" t="s">
        <v>327</v>
      </c>
      <c r="F141" s="31" t="s">
        <v>74</v>
      </c>
      <c r="G141" s="36">
        <v>13</v>
      </c>
      <c r="H141" s="36"/>
      <c r="I141" s="36">
        <v>13.19</v>
      </c>
      <c r="J141" s="36">
        <v>13.36</v>
      </c>
      <c r="K141" s="36">
        <v>26.549999999999997</v>
      </c>
      <c r="L141" s="37">
        <v>171.47</v>
      </c>
      <c r="M141" s="128">
        <f t="shared" si="2"/>
        <v>210.37654300000003</v>
      </c>
      <c r="N141" s="37">
        <v>173.68</v>
      </c>
      <c r="O141" s="128">
        <f t="shared" si="3"/>
        <v>213.08799200000001</v>
      </c>
      <c r="P141" s="37">
        <v>345.15</v>
      </c>
      <c r="Q141" s="37">
        <v>78.314534999999992</v>
      </c>
      <c r="R141" s="43">
        <v>423.46453499999996</v>
      </c>
    </row>
    <row r="142" spans="2:18" x14ac:dyDescent="0.25">
      <c r="B142" s="83"/>
      <c r="C142" s="84"/>
      <c r="D142" s="84">
        <v>7</v>
      </c>
      <c r="E142" s="85" t="s">
        <v>80</v>
      </c>
      <c r="F142" s="85"/>
      <c r="G142" s="85"/>
      <c r="H142" s="85"/>
      <c r="I142" s="85"/>
      <c r="J142" s="85"/>
      <c r="K142" s="85"/>
      <c r="L142" s="85"/>
      <c r="M142" s="130">
        <f t="shared" si="2"/>
        <v>0</v>
      </c>
      <c r="N142" s="85"/>
      <c r="O142" s="130">
        <f t="shared" si="3"/>
        <v>0</v>
      </c>
      <c r="P142" s="85"/>
      <c r="Q142" s="85"/>
      <c r="R142" s="86">
        <v>4114.1293988872603</v>
      </c>
    </row>
    <row r="143" spans="2:18" x14ac:dyDescent="0.25">
      <c r="B143" s="100"/>
      <c r="C143" s="101"/>
      <c r="D143" s="102" t="s">
        <v>76</v>
      </c>
      <c r="E143" s="103" t="s">
        <v>180</v>
      </c>
      <c r="F143" s="104"/>
      <c r="G143" s="110"/>
      <c r="H143" s="110"/>
      <c r="I143" s="110"/>
      <c r="J143" s="110"/>
      <c r="K143" s="110"/>
      <c r="L143" s="110"/>
      <c r="M143" s="127">
        <f t="shared" si="2"/>
        <v>0</v>
      </c>
      <c r="N143" s="110"/>
      <c r="O143" s="127">
        <f t="shared" si="3"/>
        <v>0</v>
      </c>
      <c r="P143" s="110"/>
      <c r="Q143" s="105"/>
      <c r="R143" s="106">
        <v>2982.1517252399999</v>
      </c>
    </row>
    <row r="144" spans="2:18" x14ac:dyDescent="0.25">
      <c r="B144" s="58"/>
      <c r="C144" s="66"/>
      <c r="D144" s="30"/>
      <c r="E144" s="35" t="s">
        <v>198</v>
      </c>
      <c r="F144" s="27"/>
      <c r="G144" s="87"/>
      <c r="H144" s="87"/>
      <c r="I144" s="87"/>
      <c r="J144" s="87"/>
      <c r="K144" s="87"/>
      <c r="L144" s="87"/>
      <c r="M144" s="127">
        <f t="shared" ref="M144:M182" si="4">IF(L144&lt;&gt;0,L144*(1+$Q$7),0)</f>
        <v>0</v>
      </c>
      <c r="N144" s="87"/>
      <c r="O144" s="127">
        <f t="shared" ref="O144:O182" si="5">IF(N144&lt;&gt;0,N144*(1+$Q$7),0)</f>
        <v>0</v>
      </c>
      <c r="P144" s="87"/>
      <c r="Q144" s="34"/>
      <c r="R144" s="42"/>
    </row>
    <row r="145" spans="2:18" x14ac:dyDescent="0.25">
      <c r="B145" s="67" t="s">
        <v>21</v>
      </c>
      <c r="C145" s="67">
        <v>98524</v>
      </c>
      <c r="D145" s="32" t="s">
        <v>127</v>
      </c>
      <c r="E145" s="33" t="s">
        <v>197</v>
      </c>
      <c r="F145" s="31" t="s">
        <v>32</v>
      </c>
      <c r="G145" s="36">
        <v>41.36</v>
      </c>
      <c r="H145" s="36"/>
      <c r="I145" s="36">
        <v>0</v>
      </c>
      <c r="J145" s="36">
        <v>3.28</v>
      </c>
      <c r="K145" s="36">
        <v>3.28</v>
      </c>
      <c r="L145" s="37">
        <v>0</v>
      </c>
      <c r="M145" s="128">
        <f t="shared" si="4"/>
        <v>0</v>
      </c>
      <c r="N145" s="37">
        <v>135.66079999999999</v>
      </c>
      <c r="O145" s="128">
        <f t="shared" si="5"/>
        <v>166.44223552</v>
      </c>
      <c r="P145" s="37">
        <v>135.66079999999999</v>
      </c>
      <c r="Q145" s="37">
        <v>30.781435519999999</v>
      </c>
      <c r="R145" s="43">
        <v>166.44223552</v>
      </c>
    </row>
    <row r="146" spans="2:18" x14ac:dyDescent="0.25">
      <c r="B146" s="32" t="s">
        <v>21</v>
      </c>
      <c r="C146" s="67">
        <v>98519</v>
      </c>
      <c r="D146" s="32" t="s">
        <v>128</v>
      </c>
      <c r="E146" s="33" t="s">
        <v>196</v>
      </c>
      <c r="F146" s="31" t="s">
        <v>32</v>
      </c>
      <c r="G146" s="36">
        <v>41.36</v>
      </c>
      <c r="H146" s="36"/>
      <c r="I146" s="36">
        <v>0</v>
      </c>
      <c r="J146" s="36">
        <v>2.14</v>
      </c>
      <c r="K146" s="36">
        <v>2.14</v>
      </c>
      <c r="L146" s="37">
        <v>0</v>
      </c>
      <c r="M146" s="128">
        <f t="shared" si="4"/>
        <v>0</v>
      </c>
      <c r="N146" s="37">
        <v>88.510400000000004</v>
      </c>
      <c r="O146" s="128">
        <f t="shared" si="5"/>
        <v>108.59340976000001</v>
      </c>
      <c r="P146" s="37">
        <v>88.510400000000004</v>
      </c>
      <c r="Q146" s="36">
        <v>20.083009759999999</v>
      </c>
      <c r="R146" s="43">
        <v>108.59340976</v>
      </c>
    </row>
    <row r="147" spans="2:18" x14ac:dyDescent="0.25">
      <c r="B147" s="58"/>
      <c r="C147" s="66"/>
      <c r="D147" s="30"/>
      <c r="E147" s="35" t="s">
        <v>199</v>
      </c>
      <c r="F147" s="27"/>
      <c r="G147" s="87"/>
      <c r="H147" s="87"/>
      <c r="I147" s="87"/>
      <c r="J147" s="87"/>
      <c r="K147" s="87"/>
      <c r="L147" s="87"/>
      <c r="M147" s="127">
        <f t="shared" si="4"/>
        <v>0</v>
      </c>
      <c r="N147" s="87"/>
      <c r="O147" s="127">
        <f t="shared" si="5"/>
        <v>0</v>
      </c>
      <c r="P147" s="87"/>
      <c r="Q147" s="34"/>
      <c r="R147" s="42"/>
    </row>
    <row r="148" spans="2:18" ht="38.25" x14ac:dyDescent="0.25">
      <c r="B148" s="67" t="s">
        <v>21</v>
      </c>
      <c r="C148" s="67">
        <v>101864</v>
      </c>
      <c r="D148" s="32" t="s">
        <v>129</v>
      </c>
      <c r="E148" s="33" t="s">
        <v>248</v>
      </c>
      <c r="F148" s="31" t="s">
        <v>32</v>
      </c>
      <c r="G148" s="36">
        <v>41.36</v>
      </c>
      <c r="H148" s="36"/>
      <c r="I148" s="36">
        <v>6.09</v>
      </c>
      <c r="J148" s="36">
        <v>26.74</v>
      </c>
      <c r="K148" s="36">
        <v>32.83</v>
      </c>
      <c r="L148" s="37">
        <v>251.88239999999999</v>
      </c>
      <c r="M148" s="128">
        <f t="shared" si="4"/>
        <v>309.03451655999999</v>
      </c>
      <c r="N148" s="37">
        <v>1105.9664</v>
      </c>
      <c r="O148" s="128">
        <f t="shared" si="5"/>
        <v>1356.9101761600002</v>
      </c>
      <c r="P148" s="37">
        <v>1357.8488</v>
      </c>
      <c r="Q148" s="37">
        <v>308.09589271999999</v>
      </c>
      <c r="R148" s="43">
        <v>1665.9446927199999</v>
      </c>
    </row>
    <row r="149" spans="2:18" x14ac:dyDescent="0.25">
      <c r="B149" s="58"/>
      <c r="C149" s="66"/>
      <c r="D149" s="30"/>
      <c r="E149" s="35" t="s">
        <v>212</v>
      </c>
      <c r="F149" s="27"/>
      <c r="G149" s="87"/>
      <c r="H149" s="87"/>
      <c r="I149" s="87"/>
      <c r="J149" s="87"/>
      <c r="K149" s="87"/>
      <c r="L149" s="87"/>
      <c r="M149" s="127">
        <f t="shared" si="4"/>
        <v>0</v>
      </c>
      <c r="N149" s="87"/>
      <c r="O149" s="127">
        <f t="shared" si="5"/>
        <v>0</v>
      </c>
      <c r="P149" s="87"/>
      <c r="Q149" s="34"/>
      <c r="R149" s="42"/>
    </row>
    <row r="150" spans="2:18" ht="24" x14ac:dyDescent="0.25">
      <c r="B150" s="67" t="s">
        <v>39</v>
      </c>
      <c r="C150" s="67"/>
      <c r="D150" s="32" t="s">
        <v>130</v>
      </c>
      <c r="E150" s="33" t="s">
        <v>214</v>
      </c>
      <c r="F150" s="31" t="s">
        <v>32</v>
      </c>
      <c r="G150" s="36">
        <v>34.68</v>
      </c>
      <c r="H150" s="36"/>
      <c r="I150" s="36">
        <v>4.78</v>
      </c>
      <c r="J150" s="36">
        <v>5.43</v>
      </c>
      <c r="K150" s="36">
        <v>10.210000000000001</v>
      </c>
      <c r="L150" s="37">
        <v>165.7704</v>
      </c>
      <c r="M150" s="128">
        <f t="shared" si="4"/>
        <v>203.38370376</v>
      </c>
      <c r="N150" s="37">
        <v>188.3124</v>
      </c>
      <c r="O150" s="128">
        <f t="shared" si="5"/>
        <v>231.04048356000001</v>
      </c>
      <c r="P150" s="37">
        <v>354.08280000000002</v>
      </c>
      <c r="Q150" s="37">
        <v>80.341387319999995</v>
      </c>
      <c r="R150" s="43">
        <v>434.42418731999999</v>
      </c>
    </row>
    <row r="151" spans="2:18" ht="24" x14ac:dyDescent="0.25">
      <c r="B151" s="67" t="s">
        <v>169</v>
      </c>
      <c r="C151" s="67">
        <v>98504</v>
      </c>
      <c r="D151" s="32" t="s">
        <v>131</v>
      </c>
      <c r="E151" s="33" t="s">
        <v>213</v>
      </c>
      <c r="F151" s="31" t="s">
        <v>32</v>
      </c>
      <c r="G151" s="36">
        <v>34.68</v>
      </c>
      <c r="H151" s="36"/>
      <c r="I151" s="36">
        <v>9.85</v>
      </c>
      <c r="J151" s="36">
        <v>4.41</v>
      </c>
      <c r="K151" s="36">
        <v>14.26</v>
      </c>
      <c r="L151" s="37">
        <v>341.59800000000001</v>
      </c>
      <c r="M151" s="128">
        <f t="shared" si="4"/>
        <v>419.10658620000004</v>
      </c>
      <c r="N151" s="37">
        <v>152.93880000000001</v>
      </c>
      <c r="O151" s="128">
        <f t="shared" si="5"/>
        <v>187.64061372000003</v>
      </c>
      <c r="P151" s="37">
        <v>494.53680000000003</v>
      </c>
      <c r="Q151" s="37">
        <v>112.21039992</v>
      </c>
      <c r="R151" s="43">
        <v>606.74719992000007</v>
      </c>
    </row>
    <row r="152" spans="2:18" x14ac:dyDescent="0.25">
      <c r="B152" s="100"/>
      <c r="C152" s="101"/>
      <c r="D152" s="102" t="s">
        <v>94</v>
      </c>
      <c r="E152" s="103" t="s">
        <v>195</v>
      </c>
      <c r="F152" s="104"/>
      <c r="G152" s="110"/>
      <c r="H152" s="110"/>
      <c r="I152" s="110"/>
      <c r="J152" s="110"/>
      <c r="K152" s="110"/>
      <c r="L152" s="110"/>
      <c r="M152" s="127">
        <f t="shared" si="4"/>
        <v>0</v>
      </c>
      <c r="N152" s="110"/>
      <c r="O152" s="127">
        <f t="shared" si="5"/>
        <v>0</v>
      </c>
      <c r="P152" s="110"/>
      <c r="Q152" s="105"/>
      <c r="R152" s="106">
        <v>500.36341914726006</v>
      </c>
    </row>
    <row r="153" spans="2:18" x14ac:dyDescent="0.25">
      <c r="B153" s="67" t="s">
        <v>21</v>
      </c>
      <c r="C153" s="67">
        <v>97629</v>
      </c>
      <c r="D153" s="32" t="s">
        <v>132</v>
      </c>
      <c r="E153" s="33" t="s">
        <v>203</v>
      </c>
      <c r="F153" s="31" t="s">
        <v>33</v>
      </c>
      <c r="G153" s="36">
        <v>0.24192</v>
      </c>
      <c r="H153" s="36"/>
      <c r="I153" s="36">
        <v>70.97</v>
      </c>
      <c r="J153" s="36">
        <v>15.9</v>
      </c>
      <c r="K153" s="36">
        <v>86.87</v>
      </c>
      <c r="L153" s="37">
        <v>17.169062399999998</v>
      </c>
      <c r="M153" s="128">
        <f t="shared" si="4"/>
        <v>21.064722658559997</v>
      </c>
      <c r="N153" s="37">
        <v>3.8465280000000002</v>
      </c>
      <c r="O153" s="128">
        <f t="shared" si="5"/>
        <v>4.7193052032000002</v>
      </c>
      <c r="P153" s="37">
        <v>21.015590399999997</v>
      </c>
      <c r="Q153" s="37">
        <v>4.7684374617599987</v>
      </c>
      <c r="R153" s="43">
        <v>25.784027861759995</v>
      </c>
    </row>
    <row r="154" spans="2:18" x14ac:dyDescent="0.25">
      <c r="B154" s="67" t="s">
        <v>21</v>
      </c>
      <c r="C154" s="67">
        <v>96624</v>
      </c>
      <c r="D154" s="32" t="s">
        <v>133</v>
      </c>
      <c r="E154" s="33" t="s">
        <v>204</v>
      </c>
      <c r="F154" s="31" t="s">
        <v>33</v>
      </c>
      <c r="G154" s="36">
        <v>0.18900000000000003</v>
      </c>
      <c r="H154" s="36"/>
      <c r="I154" s="36">
        <v>62.44</v>
      </c>
      <c r="J154" s="36">
        <v>37.51</v>
      </c>
      <c r="K154" s="36">
        <v>99.949999999999989</v>
      </c>
      <c r="L154" s="37">
        <v>11.801160000000001</v>
      </c>
      <c r="M154" s="128">
        <f t="shared" si="4"/>
        <v>14.478843204000002</v>
      </c>
      <c r="N154" s="37">
        <v>7.0893900000000007</v>
      </c>
      <c r="O154" s="128">
        <f t="shared" si="5"/>
        <v>8.697972591000001</v>
      </c>
      <c r="P154" s="37">
        <v>18.890550000000001</v>
      </c>
      <c r="Q154" s="37">
        <v>4.2862657950000003</v>
      </c>
      <c r="R154" s="43">
        <v>23.176815795000003</v>
      </c>
    </row>
    <row r="155" spans="2:18" x14ac:dyDescent="0.25">
      <c r="B155" s="67" t="s">
        <v>21</v>
      </c>
      <c r="C155" s="67">
        <v>95241</v>
      </c>
      <c r="D155" s="32" t="s">
        <v>207</v>
      </c>
      <c r="E155" s="33" t="s">
        <v>205</v>
      </c>
      <c r="F155" s="31" t="s">
        <v>32</v>
      </c>
      <c r="G155" s="36">
        <v>3.024</v>
      </c>
      <c r="H155" s="36"/>
      <c r="I155" s="36">
        <v>18.04</v>
      </c>
      <c r="J155" s="36">
        <v>9.52</v>
      </c>
      <c r="K155" s="36">
        <v>27.56</v>
      </c>
      <c r="L155" s="37">
        <v>54.552959999999999</v>
      </c>
      <c r="M155" s="128">
        <f t="shared" si="4"/>
        <v>66.931026623999998</v>
      </c>
      <c r="N155" s="37">
        <v>28.78848</v>
      </c>
      <c r="O155" s="128">
        <f t="shared" si="5"/>
        <v>35.320586112000001</v>
      </c>
      <c r="P155" s="37">
        <v>83.341440000000006</v>
      </c>
      <c r="Q155" s="37">
        <v>18.910172736</v>
      </c>
      <c r="R155" s="43">
        <v>102.251612736</v>
      </c>
    </row>
    <row r="156" spans="2:18" ht="25.5" x14ac:dyDescent="0.25">
      <c r="B156" s="67" t="s">
        <v>21</v>
      </c>
      <c r="C156" s="67" t="s">
        <v>39</v>
      </c>
      <c r="D156" s="32" t="s">
        <v>208</v>
      </c>
      <c r="E156" s="33" t="s">
        <v>249</v>
      </c>
      <c r="F156" s="31" t="s">
        <v>32</v>
      </c>
      <c r="G156" s="36">
        <v>1.5625</v>
      </c>
      <c r="H156" s="36"/>
      <c r="I156" s="36">
        <v>77.88</v>
      </c>
      <c r="J156" s="36">
        <v>27.93</v>
      </c>
      <c r="K156" s="36">
        <v>105.81</v>
      </c>
      <c r="L156" s="37">
        <v>121.6875</v>
      </c>
      <c r="M156" s="128">
        <f t="shared" si="4"/>
        <v>149.29839375</v>
      </c>
      <c r="N156" s="37">
        <v>43.640625</v>
      </c>
      <c r="O156" s="128">
        <f t="shared" si="5"/>
        <v>53.542682812500004</v>
      </c>
      <c r="P156" s="37">
        <v>165.328125</v>
      </c>
      <c r="Q156" s="37">
        <v>37.5129515625</v>
      </c>
      <c r="R156" s="43">
        <v>202.84107656250001</v>
      </c>
    </row>
    <row r="157" spans="2:18" ht="25.5" x14ac:dyDescent="0.25">
      <c r="B157" s="67" t="s">
        <v>21</v>
      </c>
      <c r="C157" s="67" t="s">
        <v>39</v>
      </c>
      <c r="D157" s="32" t="s">
        <v>209</v>
      </c>
      <c r="E157" s="33" t="s">
        <v>206</v>
      </c>
      <c r="F157" s="31" t="s">
        <v>34</v>
      </c>
      <c r="G157" s="36">
        <v>1.2</v>
      </c>
      <c r="H157" s="36"/>
      <c r="I157" s="36">
        <v>24.37</v>
      </c>
      <c r="J157" s="36">
        <v>28.21</v>
      </c>
      <c r="K157" s="36">
        <v>52.58</v>
      </c>
      <c r="L157" s="37">
        <v>29.244</v>
      </c>
      <c r="M157" s="128">
        <f t="shared" si="4"/>
        <v>35.879463600000001</v>
      </c>
      <c r="N157" s="37">
        <v>33.851999999999997</v>
      </c>
      <c r="O157" s="128">
        <f t="shared" si="5"/>
        <v>41.533018800000001</v>
      </c>
      <c r="P157" s="37">
        <v>63.095999999999997</v>
      </c>
      <c r="Q157" s="37">
        <v>14.316482399999998</v>
      </c>
      <c r="R157" s="43">
        <v>77.412482399999988</v>
      </c>
    </row>
    <row r="158" spans="2:18" ht="25.5" x14ac:dyDescent="0.25">
      <c r="B158" s="67" t="s">
        <v>21</v>
      </c>
      <c r="C158" s="67">
        <v>102491</v>
      </c>
      <c r="D158" s="32" t="s">
        <v>211</v>
      </c>
      <c r="E158" s="33" t="s">
        <v>210</v>
      </c>
      <c r="F158" s="31" t="s">
        <v>32</v>
      </c>
      <c r="G158" s="36">
        <v>3.024</v>
      </c>
      <c r="H158" s="36"/>
      <c r="I158" s="36">
        <v>7.71</v>
      </c>
      <c r="J158" s="36">
        <v>10.86</v>
      </c>
      <c r="K158" s="36">
        <v>18.57</v>
      </c>
      <c r="L158" s="37">
        <v>23.31504</v>
      </c>
      <c r="M158" s="128">
        <f t="shared" si="4"/>
        <v>28.605222576000003</v>
      </c>
      <c r="N158" s="37">
        <v>32.84064</v>
      </c>
      <c r="O158" s="128">
        <f t="shared" si="5"/>
        <v>40.292181216000003</v>
      </c>
      <c r="P158" s="37">
        <v>56.155680000000004</v>
      </c>
      <c r="Q158" s="37">
        <v>12.741723792</v>
      </c>
      <c r="R158" s="43">
        <v>68.897403792000006</v>
      </c>
    </row>
    <row r="159" spans="2:18" x14ac:dyDescent="0.25">
      <c r="B159" s="100"/>
      <c r="C159" s="101"/>
      <c r="D159" s="102" t="s">
        <v>104</v>
      </c>
      <c r="E159" s="103" t="s">
        <v>344</v>
      </c>
      <c r="F159" s="104"/>
      <c r="G159" s="110"/>
      <c r="H159" s="110"/>
      <c r="I159" s="110"/>
      <c r="J159" s="110"/>
      <c r="K159" s="110"/>
      <c r="L159" s="110"/>
      <c r="M159" s="127">
        <f t="shared" si="4"/>
        <v>0</v>
      </c>
      <c r="N159" s="110"/>
      <c r="O159" s="127">
        <f t="shared" si="5"/>
        <v>0</v>
      </c>
      <c r="P159" s="110"/>
      <c r="Q159" s="105"/>
      <c r="R159" s="106">
        <v>631.61425450000002</v>
      </c>
    </row>
    <row r="160" spans="2:18" x14ac:dyDescent="0.25">
      <c r="B160" s="32" t="s">
        <v>21</v>
      </c>
      <c r="C160" s="67">
        <v>102501</v>
      </c>
      <c r="D160" s="71" t="s">
        <v>251</v>
      </c>
      <c r="E160" s="88" t="s">
        <v>200</v>
      </c>
      <c r="F160" s="31" t="s">
        <v>32</v>
      </c>
      <c r="G160" s="36">
        <v>13</v>
      </c>
      <c r="H160" s="36"/>
      <c r="I160" s="36">
        <v>6.6</v>
      </c>
      <c r="J160" s="36">
        <v>17.059999999999999</v>
      </c>
      <c r="K160" s="36">
        <v>23.659999999999997</v>
      </c>
      <c r="L160" s="37">
        <v>85.8</v>
      </c>
      <c r="M160" s="128">
        <f t="shared" si="4"/>
        <v>105.26802000000001</v>
      </c>
      <c r="N160" s="37">
        <v>221.77999999999997</v>
      </c>
      <c r="O160" s="128">
        <f t="shared" si="5"/>
        <v>272.10188199999999</v>
      </c>
      <c r="P160" s="37">
        <v>307.58</v>
      </c>
      <c r="Q160" s="37">
        <v>69.789901999999998</v>
      </c>
      <c r="R160" s="43">
        <v>377.36990199999997</v>
      </c>
    </row>
    <row r="161" spans="2:18" ht="25.5" x14ac:dyDescent="0.25">
      <c r="B161" s="32" t="s">
        <v>21</v>
      </c>
      <c r="C161" s="67">
        <v>102513</v>
      </c>
      <c r="D161" s="32" t="s">
        <v>202</v>
      </c>
      <c r="E161" s="33" t="s">
        <v>201</v>
      </c>
      <c r="F161" s="31" t="s">
        <v>32</v>
      </c>
      <c r="G161" s="36">
        <v>4.5</v>
      </c>
      <c r="H161" s="36"/>
      <c r="I161" s="36">
        <v>8.1300000000000008</v>
      </c>
      <c r="J161" s="36">
        <v>37.92</v>
      </c>
      <c r="K161" s="36">
        <v>46.050000000000004</v>
      </c>
      <c r="L161" s="37">
        <v>36.585000000000001</v>
      </c>
      <c r="M161" s="128">
        <f t="shared" si="4"/>
        <v>44.886136500000006</v>
      </c>
      <c r="N161" s="37">
        <v>170.64000000000001</v>
      </c>
      <c r="O161" s="128">
        <f t="shared" si="5"/>
        <v>209.35821600000003</v>
      </c>
      <c r="P161" s="37">
        <v>207.22500000000002</v>
      </c>
      <c r="Q161" s="37">
        <v>47.019352500000004</v>
      </c>
      <c r="R161" s="43">
        <v>254.24435250000002</v>
      </c>
    </row>
    <row r="162" spans="2:18" x14ac:dyDescent="0.25">
      <c r="B162" s="83"/>
      <c r="C162" s="84"/>
      <c r="D162" s="84">
        <v>8</v>
      </c>
      <c r="E162" s="85" t="s">
        <v>261</v>
      </c>
      <c r="F162" s="85"/>
      <c r="G162" s="85"/>
      <c r="H162" s="85"/>
      <c r="I162" s="85"/>
      <c r="J162" s="85"/>
      <c r="K162" s="85"/>
      <c r="L162" s="85"/>
      <c r="M162" s="130">
        <f t="shared" si="4"/>
        <v>0</v>
      </c>
      <c r="N162" s="85"/>
      <c r="O162" s="130">
        <f t="shared" si="5"/>
        <v>0</v>
      </c>
      <c r="P162" s="85"/>
      <c r="Q162" s="85"/>
      <c r="R162" s="86">
        <v>4597.8568259999993</v>
      </c>
    </row>
    <row r="163" spans="2:18" x14ac:dyDescent="0.25">
      <c r="B163" s="100"/>
      <c r="C163" s="101"/>
      <c r="D163" s="102" t="s">
        <v>81</v>
      </c>
      <c r="E163" s="103" t="s">
        <v>262</v>
      </c>
      <c r="F163" s="104"/>
      <c r="G163" s="110"/>
      <c r="H163" s="110"/>
      <c r="I163" s="110"/>
      <c r="J163" s="110"/>
      <c r="K163" s="110"/>
      <c r="L163" s="110"/>
      <c r="M163" s="127">
        <f t="shared" si="4"/>
        <v>0</v>
      </c>
      <c r="N163" s="110"/>
      <c r="O163" s="127">
        <f t="shared" si="5"/>
        <v>0</v>
      </c>
      <c r="P163" s="110"/>
      <c r="Q163" s="105"/>
      <c r="R163" s="106">
        <v>4597.8568259999993</v>
      </c>
    </row>
    <row r="164" spans="2:18" x14ac:dyDescent="0.25">
      <c r="B164" s="67" t="s">
        <v>21</v>
      </c>
      <c r="C164" s="67"/>
      <c r="D164" s="32" t="s">
        <v>220</v>
      </c>
      <c r="E164" s="33" t="s">
        <v>269</v>
      </c>
      <c r="F164" s="31" t="s">
        <v>74</v>
      </c>
      <c r="G164" s="36">
        <v>120</v>
      </c>
      <c r="H164" s="36"/>
      <c r="I164" s="36">
        <v>7.02</v>
      </c>
      <c r="J164" s="36">
        <v>4.4000000000000004</v>
      </c>
      <c r="K164" s="36">
        <v>11.42</v>
      </c>
      <c r="L164" s="37">
        <v>842.4</v>
      </c>
      <c r="M164" s="128">
        <f t="shared" si="4"/>
        <v>1033.5405600000001</v>
      </c>
      <c r="N164" s="37">
        <v>528</v>
      </c>
      <c r="O164" s="128">
        <f t="shared" si="5"/>
        <v>647.80320000000006</v>
      </c>
      <c r="P164" s="37">
        <v>1370.4</v>
      </c>
      <c r="Q164" s="37">
        <v>310.94376</v>
      </c>
      <c r="R164" s="43">
        <v>1681.3437600000002</v>
      </c>
    </row>
    <row r="165" spans="2:18" x14ac:dyDescent="0.25">
      <c r="B165" s="67" t="s">
        <v>21</v>
      </c>
      <c r="C165" s="67"/>
      <c r="D165" s="32" t="s">
        <v>221</v>
      </c>
      <c r="E165" s="33" t="s">
        <v>263</v>
      </c>
      <c r="F165" s="31" t="s">
        <v>74</v>
      </c>
      <c r="G165" s="36">
        <v>29</v>
      </c>
      <c r="H165" s="36"/>
      <c r="I165" s="36">
        <v>5.25</v>
      </c>
      <c r="J165" s="36">
        <v>10.69</v>
      </c>
      <c r="K165" s="36">
        <v>15.94</v>
      </c>
      <c r="L165" s="37">
        <v>152.25</v>
      </c>
      <c r="M165" s="128">
        <f t="shared" si="4"/>
        <v>186.79552500000003</v>
      </c>
      <c r="N165" s="37">
        <v>310.01</v>
      </c>
      <c r="O165" s="128">
        <f t="shared" si="5"/>
        <v>380.351269</v>
      </c>
      <c r="P165" s="37">
        <v>462.26</v>
      </c>
      <c r="Q165" s="37">
        <v>104.88679399999999</v>
      </c>
      <c r="R165" s="43">
        <v>567.146794</v>
      </c>
    </row>
    <row r="166" spans="2:18" x14ac:dyDescent="0.25">
      <c r="B166" s="67" t="s">
        <v>21</v>
      </c>
      <c r="C166" s="67"/>
      <c r="D166" s="32" t="s">
        <v>222</v>
      </c>
      <c r="E166" s="33" t="s">
        <v>265</v>
      </c>
      <c r="F166" s="31" t="s">
        <v>74</v>
      </c>
      <c r="G166" s="36">
        <v>8</v>
      </c>
      <c r="H166" s="36"/>
      <c r="I166" s="36">
        <v>54.47</v>
      </c>
      <c r="J166" s="36">
        <v>53.46</v>
      </c>
      <c r="K166" s="36">
        <v>107.93</v>
      </c>
      <c r="L166" s="37">
        <v>435.76</v>
      </c>
      <c r="M166" s="128">
        <f t="shared" si="4"/>
        <v>534.63394400000004</v>
      </c>
      <c r="N166" s="37">
        <v>427.68</v>
      </c>
      <c r="O166" s="128">
        <f t="shared" si="5"/>
        <v>524.72059200000001</v>
      </c>
      <c r="P166" s="37">
        <v>863.44</v>
      </c>
      <c r="Q166" s="37">
        <v>195.914536</v>
      </c>
      <c r="R166" s="43">
        <v>1059.3545360000001</v>
      </c>
    </row>
    <row r="167" spans="2:18" x14ac:dyDescent="0.25">
      <c r="B167" s="67" t="s">
        <v>21</v>
      </c>
      <c r="C167" s="67"/>
      <c r="D167" s="32" t="s">
        <v>223</v>
      </c>
      <c r="E167" s="33" t="s">
        <v>266</v>
      </c>
      <c r="F167" s="31" t="s">
        <v>74</v>
      </c>
      <c r="G167" s="36">
        <v>3</v>
      </c>
      <c r="H167" s="36"/>
      <c r="I167" s="36">
        <v>29.02</v>
      </c>
      <c r="J167" s="36">
        <v>53.46</v>
      </c>
      <c r="K167" s="36">
        <v>82.48</v>
      </c>
      <c r="L167" s="37">
        <v>87.06</v>
      </c>
      <c r="M167" s="128">
        <f t="shared" si="4"/>
        <v>106.81391400000001</v>
      </c>
      <c r="N167" s="37">
        <v>160.38</v>
      </c>
      <c r="O167" s="128">
        <f t="shared" si="5"/>
        <v>196.77022200000002</v>
      </c>
      <c r="P167" s="37">
        <v>247.44</v>
      </c>
      <c r="Q167" s="37">
        <v>56.144135999999996</v>
      </c>
      <c r="R167" s="43">
        <v>303.584136</v>
      </c>
    </row>
    <row r="168" spans="2:18" x14ac:dyDescent="0.25">
      <c r="B168" s="67" t="s">
        <v>21</v>
      </c>
      <c r="C168" s="67"/>
      <c r="D168" s="32" t="s">
        <v>267</v>
      </c>
      <c r="E168" s="33" t="s">
        <v>268</v>
      </c>
      <c r="F168" s="31" t="s">
        <v>74</v>
      </c>
      <c r="G168" s="36">
        <v>48</v>
      </c>
      <c r="H168" s="36"/>
      <c r="I168" s="36">
        <v>10.07</v>
      </c>
      <c r="J168" s="36">
        <v>6.68</v>
      </c>
      <c r="K168" s="36">
        <v>16.75</v>
      </c>
      <c r="L168" s="37">
        <v>483.36</v>
      </c>
      <c r="M168" s="128">
        <f t="shared" si="4"/>
        <v>593.03438400000005</v>
      </c>
      <c r="N168" s="37">
        <v>320.64</v>
      </c>
      <c r="O168" s="128">
        <f t="shared" si="5"/>
        <v>393.393216</v>
      </c>
      <c r="P168" s="37">
        <v>804</v>
      </c>
      <c r="Q168" s="37">
        <v>182.42759999999998</v>
      </c>
      <c r="R168" s="43">
        <v>986.42759999999998</v>
      </c>
    </row>
    <row r="169" spans="2:18" x14ac:dyDescent="0.25">
      <c r="B169" s="83"/>
      <c r="C169" s="84"/>
      <c r="D169" s="84">
        <v>9</v>
      </c>
      <c r="E169" s="85" t="s">
        <v>58</v>
      </c>
      <c r="F169" s="85"/>
      <c r="G169" s="85"/>
      <c r="H169" s="85"/>
      <c r="I169" s="85"/>
      <c r="J169" s="85"/>
      <c r="K169" s="85"/>
      <c r="L169" s="85"/>
      <c r="M169" s="130">
        <f t="shared" si="4"/>
        <v>0</v>
      </c>
      <c r="N169" s="85"/>
      <c r="O169" s="130">
        <f t="shared" si="5"/>
        <v>0</v>
      </c>
      <c r="P169" s="85"/>
      <c r="Q169" s="85"/>
      <c r="R169" s="86">
        <v>18227.052121088876</v>
      </c>
    </row>
    <row r="170" spans="2:18" x14ac:dyDescent="0.25">
      <c r="B170" s="100"/>
      <c r="C170" s="101"/>
      <c r="D170" s="102" t="s">
        <v>301</v>
      </c>
      <c r="E170" s="103" t="s">
        <v>194</v>
      </c>
      <c r="F170" s="104"/>
      <c r="G170" s="110"/>
      <c r="H170" s="110"/>
      <c r="I170" s="110"/>
      <c r="J170" s="110"/>
      <c r="K170" s="110"/>
      <c r="L170" s="110"/>
      <c r="M170" s="127">
        <f t="shared" si="4"/>
        <v>0</v>
      </c>
      <c r="N170" s="110"/>
      <c r="O170" s="127">
        <f t="shared" si="5"/>
        <v>0</v>
      </c>
      <c r="P170" s="110"/>
      <c r="Q170" s="105"/>
      <c r="R170" s="106">
        <v>10487.125487627469</v>
      </c>
    </row>
    <row r="171" spans="2:18" x14ac:dyDescent="0.25">
      <c r="B171" s="58"/>
      <c r="C171" s="66"/>
      <c r="D171" s="30"/>
      <c r="E171" s="35" t="s">
        <v>218</v>
      </c>
      <c r="F171" s="27"/>
      <c r="G171" s="87"/>
      <c r="H171" s="87"/>
      <c r="I171" s="87"/>
      <c r="J171" s="87"/>
      <c r="K171" s="87"/>
      <c r="L171" s="87"/>
      <c r="M171" s="127">
        <f t="shared" si="4"/>
        <v>0</v>
      </c>
      <c r="N171" s="87"/>
      <c r="O171" s="127">
        <f t="shared" si="5"/>
        <v>0</v>
      </c>
      <c r="P171" s="87"/>
      <c r="Q171" s="34"/>
      <c r="R171" s="42"/>
    </row>
    <row r="172" spans="2:18" ht="45" x14ac:dyDescent="0.25">
      <c r="B172" s="67" t="s">
        <v>216</v>
      </c>
      <c r="C172" s="67"/>
      <c r="D172" s="95" t="s">
        <v>302</v>
      </c>
      <c r="E172" s="96" t="s">
        <v>241</v>
      </c>
      <c r="F172" s="95" t="s">
        <v>34</v>
      </c>
      <c r="G172" s="97">
        <v>9.56</v>
      </c>
      <c r="H172" s="97"/>
      <c r="I172" s="98">
        <v>392.00305986000001</v>
      </c>
      <c r="J172" s="98">
        <v>167.17238103599999</v>
      </c>
      <c r="K172" s="98">
        <v>559.17999999999995</v>
      </c>
      <c r="L172" s="98">
        <v>3747.5492522616005</v>
      </c>
      <c r="M172" s="132">
        <f t="shared" si="4"/>
        <v>4597.8681775997584</v>
      </c>
      <c r="N172" s="98">
        <v>1598.1679627041599</v>
      </c>
      <c r="O172" s="132">
        <f t="shared" si="5"/>
        <v>1960.7922734417339</v>
      </c>
      <c r="P172" s="98">
        <v>5345.7172149657599</v>
      </c>
      <c r="Q172" s="36">
        <v>1212.943236075731</v>
      </c>
      <c r="R172" s="99">
        <v>6558.6604510414909</v>
      </c>
    </row>
    <row r="173" spans="2:18" ht="45" x14ac:dyDescent="0.25">
      <c r="B173" s="67" t="s">
        <v>217</v>
      </c>
      <c r="C173" s="67"/>
      <c r="D173" s="95" t="s">
        <v>303</v>
      </c>
      <c r="E173" s="96" t="s">
        <v>215</v>
      </c>
      <c r="F173" s="95" t="s">
        <v>32</v>
      </c>
      <c r="G173" s="97">
        <v>10.038</v>
      </c>
      <c r="H173" s="97"/>
      <c r="I173" s="98">
        <v>11.696731029</v>
      </c>
      <c r="J173" s="98">
        <v>8.7871379219999994</v>
      </c>
      <c r="K173" s="98">
        <v>20.48</v>
      </c>
      <c r="L173" s="98">
        <v>117.41178606910201</v>
      </c>
      <c r="M173" s="132">
        <f t="shared" si="4"/>
        <v>144.05252032818126</v>
      </c>
      <c r="N173" s="98">
        <v>88.205290461036</v>
      </c>
      <c r="O173" s="132">
        <f t="shared" si="5"/>
        <v>108.21907086664508</v>
      </c>
      <c r="P173" s="98">
        <v>205.61707653013801</v>
      </c>
      <c r="Q173" s="36">
        <v>46.654514664688314</v>
      </c>
      <c r="R173" s="99">
        <v>252.27159119482633</v>
      </c>
    </row>
    <row r="174" spans="2:18" x14ac:dyDescent="0.25">
      <c r="B174" s="58"/>
      <c r="C174" s="66"/>
      <c r="D174" s="30"/>
      <c r="E174" s="35" t="s">
        <v>219</v>
      </c>
      <c r="F174" s="27"/>
      <c r="G174" s="87"/>
      <c r="H174" s="87"/>
      <c r="I174" s="87"/>
      <c r="J174" s="87"/>
      <c r="K174" s="87"/>
      <c r="L174" s="87"/>
      <c r="M174" s="127">
        <f t="shared" si="4"/>
        <v>0</v>
      </c>
      <c r="N174" s="87"/>
      <c r="O174" s="127">
        <f t="shared" si="5"/>
        <v>0</v>
      </c>
      <c r="P174" s="87"/>
      <c r="Q174" s="34"/>
      <c r="R174" s="42"/>
    </row>
    <row r="175" spans="2:18" ht="60" x14ac:dyDescent="0.25">
      <c r="B175" s="67" t="s">
        <v>216</v>
      </c>
      <c r="C175" s="67"/>
      <c r="D175" s="95" t="s">
        <v>304</v>
      </c>
      <c r="E175" s="96" t="s">
        <v>242</v>
      </c>
      <c r="F175" s="95" t="s">
        <v>34</v>
      </c>
      <c r="G175" s="97">
        <v>5.16</v>
      </c>
      <c r="H175" s="97"/>
      <c r="I175" s="98">
        <v>392.00305986000001</v>
      </c>
      <c r="J175" s="98">
        <v>167.17238103599999</v>
      </c>
      <c r="K175" s="98">
        <v>559.17999999999995</v>
      </c>
      <c r="L175" s="98">
        <v>2022.7357888776</v>
      </c>
      <c r="M175" s="132">
        <f t="shared" si="4"/>
        <v>2481.6945393739279</v>
      </c>
      <c r="N175" s="98">
        <v>862.60948614576</v>
      </c>
      <c r="O175" s="132">
        <f t="shared" si="5"/>
        <v>1058.3355785522331</v>
      </c>
      <c r="P175" s="98">
        <v>2885.34527502336</v>
      </c>
      <c r="Q175" s="36">
        <v>654.68484290280037</v>
      </c>
      <c r="R175" s="99">
        <v>3540.0301179261605</v>
      </c>
    </row>
    <row r="176" spans="2:18" ht="45" x14ac:dyDescent="0.25">
      <c r="B176" s="67" t="s">
        <v>217</v>
      </c>
      <c r="C176" s="67"/>
      <c r="D176" s="95" t="s">
        <v>305</v>
      </c>
      <c r="E176" s="96" t="s">
        <v>215</v>
      </c>
      <c r="F176" s="95" t="s">
        <v>32</v>
      </c>
      <c r="G176" s="97">
        <v>5.4180000000000001</v>
      </c>
      <c r="H176" s="97"/>
      <c r="I176" s="98">
        <v>11.696731029</v>
      </c>
      <c r="J176" s="98">
        <v>8.7871379219999994</v>
      </c>
      <c r="K176" s="98">
        <v>20.48</v>
      </c>
      <c r="L176" s="98">
        <v>63.372888715122002</v>
      </c>
      <c r="M176" s="132">
        <f t="shared" si="4"/>
        <v>77.752197164583194</v>
      </c>
      <c r="N176" s="98">
        <v>47.608713261395998</v>
      </c>
      <c r="O176" s="132">
        <f t="shared" si="5"/>
        <v>58.411130300406754</v>
      </c>
      <c r="P176" s="98">
        <v>110.98160197651799</v>
      </c>
      <c r="Q176" s="36">
        <v>25.181725488471933</v>
      </c>
      <c r="R176" s="99">
        <v>136.16332746498992</v>
      </c>
    </row>
    <row r="177" spans="2:18" x14ac:dyDescent="0.25">
      <c r="B177" s="100"/>
      <c r="C177" s="101"/>
      <c r="D177" s="102" t="s">
        <v>306</v>
      </c>
      <c r="E177" s="103" t="s">
        <v>255</v>
      </c>
      <c r="F177" s="104"/>
      <c r="G177" s="110"/>
      <c r="H177" s="110"/>
      <c r="I177" s="110"/>
      <c r="J177" s="110"/>
      <c r="K177" s="110"/>
      <c r="L177" s="110"/>
      <c r="M177" s="127">
        <f t="shared" si="4"/>
        <v>0</v>
      </c>
      <c r="N177" s="110"/>
      <c r="O177" s="127">
        <f t="shared" si="5"/>
        <v>0</v>
      </c>
      <c r="P177" s="110"/>
      <c r="Q177" s="105"/>
      <c r="R177" s="106">
        <v>7347.8231472445623</v>
      </c>
    </row>
    <row r="178" spans="2:18" x14ac:dyDescent="0.25">
      <c r="B178" s="58"/>
      <c r="C178" s="66"/>
      <c r="D178" s="30"/>
      <c r="E178" s="35" t="s">
        <v>256</v>
      </c>
      <c r="F178" s="27"/>
      <c r="G178" s="87"/>
      <c r="H178" s="87"/>
      <c r="I178" s="87"/>
      <c r="J178" s="87"/>
      <c r="K178" s="87"/>
      <c r="L178" s="87"/>
      <c r="M178" s="127">
        <f t="shared" si="4"/>
        <v>0</v>
      </c>
      <c r="N178" s="87"/>
      <c r="O178" s="127">
        <f t="shared" si="5"/>
        <v>0</v>
      </c>
      <c r="P178" s="87"/>
      <c r="Q178" s="34"/>
      <c r="R178" s="42"/>
    </row>
    <row r="179" spans="2:18" ht="30" x14ac:dyDescent="0.25">
      <c r="B179" s="67" t="s">
        <v>39</v>
      </c>
      <c r="C179" s="67"/>
      <c r="D179" s="95" t="s">
        <v>307</v>
      </c>
      <c r="E179" s="96" t="s">
        <v>254</v>
      </c>
      <c r="F179" s="95" t="s">
        <v>24</v>
      </c>
      <c r="G179" s="97">
        <v>15</v>
      </c>
      <c r="H179" s="97"/>
      <c r="I179" s="98">
        <v>182.11218289199999</v>
      </c>
      <c r="J179" s="98">
        <v>12.680490302999999</v>
      </c>
      <c r="K179" s="98">
        <v>194.79</v>
      </c>
      <c r="L179" s="98">
        <v>2731.6827433799999</v>
      </c>
      <c r="M179" s="132">
        <f t="shared" si="4"/>
        <v>3351.5015578529224</v>
      </c>
      <c r="N179" s="98">
        <v>190.20735454499999</v>
      </c>
      <c r="O179" s="132">
        <f t="shared" si="5"/>
        <v>233.36540329126049</v>
      </c>
      <c r="P179" s="98">
        <v>2921.8900979249997</v>
      </c>
      <c r="Q179" s="36">
        <v>662.97686321918241</v>
      </c>
      <c r="R179" s="99">
        <v>3584.8669611441819</v>
      </c>
    </row>
    <row r="180" spans="2:18" ht="30" x14ac:dyDescent="0.25">
      <c r="B180" s="67" t="s">
        <v>39</v>
      </c>
      <c r="C180" s="67"/>
      <c r="D180" s="95" t="s">
        <v>308</v>
      </c>
      <c r="E180" s="96" t="s">
        <v>257</v>
      </c>
      <c r="F180" s="95" t="s">
        <v>34</v>
      </c>
      <c r="G180" s="97">
        <v>39.191000000000003</v>
      </c>
      <c r="H180" s="97"/>
      <c r="I180" s="98">
        <v>57.466548098999993</v>
      </c>
      <c r="J180" s="98">
        <v>20.792335842</v>
      </c>
      <c r="K180" s="98">
        <v>78.260000000000005</v>
      </c>
      <c r="L180" s="98">
        <v>2252.1714865479089</v>
      </c>
      <c r="M180" s="132">
        <f t="shared" si="4"/>
        <v>2763.1891968456298</v>
      </c>
      <c r="N180" s="98">
        <v>814.87243398382202</v>
      </c>
      <c r="O180" s="132">
        <f t="shared" si="5"/>
        <v>999.76698925475137</v>
      </c>
      <c r="P180" s="98">
        <v>3067.0439205317307</v>
      </c>
      <c r="Q180" s="36">
        <v>695.91226556864967</v>
      </c>
      <c r="R180" s="99">
        <v>3762.9561861003804</v>
      </c>
    </row>
    <row r="181" spans="2:18" x14ac:dyDescent="0.25">
      <c r="B181" s="100"/>
      <c r="C181" s="101"/>
      <c r="D181" s="102" t="s">
        <v>332</v>
      </c>
      <c r="E181" s="103" t="s">
        <v>333</v>
      </c>
      <c r="F181" s="104"/>
      <c r="G181" s="110"/>
      <c r="H181" s="110"/>
      <c r="I181" s="110"/>
      <c r="J181" s="110"/>
      <c r="K181" s="110"/>
      <c r="L181" s="110"/>
      <c r="M181" s="127">
        <f t="shared" si="4"/>
        <v>0</v>
      </c>
      <c r="N181" s="110"/>
      <c r="O181" s="127">
        <f t="shared" si="5"/>
        <v>0</v>
      </c>
      <c r="P181" s="110"/>
      <c r="Q181" s="105"/>
      <c r="R181" s="106">
        <v>392.10348621684614</v>
      </c>
    </row>
    <row r="182" spans="2:18" x14ac:dyDescent="0.25">
      <c r="B182" s="67" t="s">
        <v>21</v>
      </c>
      <c r="C182" s="67">
        <v>99802</v>
      </c>
      <c r="D182" s="95" t="s">
        <v>335</v>
      </c>
      <c r="E182" s="96" t="s">
        <v>334</v>
      </c>
      <c r="F182" s="95" t="s">
        <v>32</v>
      </c>
      <c r="G182" s="97">
        <v>572.15</v>
      </c>
      <c r="H182" s="97"/>
      <c r="I182" s="98">
        <v>0</v>
      </c>
      <c r="J182" s="98">
        <v>0.55857518100000003</v>
      </c>
      <c r="K182" s="98">
        <v>0.56000000000000005</v>
      </c>
      <c r="L182" s="98">
        <v>0</v>
      </c>
      <c r="M182" s="132">
        <f t="shared" si="4"/>
        <v>0</v>
      </c>
      <c r="N182" s="98">
        <v>319.58878980915</v>
      </c>
      <c r="O182" s="132">
        <f t="shared" si="5"/>
        <v>392.10348621684619</v>
      </c>
      <c r="P182" s="98">
        <v>319.58878980915</v>
      </c>
      <c r="Q182" s="36">
        <v>72.514696407696135</v>
      </c>
      <c r="R182" s="99">
        <v>392.10348621684614</v>
      </c>
    </row>
    <row r="183" spans="2:18" ht="15.75" thickBot="1" x14ac:dyDescent="0.3">
      <c r="B183" s="60"/>
      <c r="C183" s="68"/>
      <c r="D183" s="25"/>
      <c r="E183" s="24"/>
      <c r="F183" s="24"/>
      <c r="G183" s="26"/>
      <c r="H183" s="26"/>
      <c r="I183" s="26"/>
      <c r="J183" s="26"/>
      <c r="K183" s="26"/>
      <c r="L183" s="26"/>
      <c r="M183" s="133"/>
      <c r="N183" s="26"/>
      <c r="O183" s="133"/>
      <c r="P183" s="26"/>
      <c r="Q183" s="6"/>
      <c r="R183" s="6"/>
    </row>
    <row r="184" spans="2:18" ht="33" customHeight="1" x14ac:dyDescent="0.25">
      <c r="B184" s="145" t="s">
        <v>36</v>
      </c>
      <c r="C184" s="146"/>
      <c r="D184" s="146"/>
      <c r="E184" s="146"/>
      <c r="F184" s="146"/>
      <c r="G184" s="146"/>
      <c r="H184" s="146"/>
      <c r="I184" s="146"/>
      <c r="J184" s="146"/>
      <c r="K184" s="147"/>
      <c r="L184" s="47" t="s">
        <v>41</v>
      </c>
      <c r="M184" s="121" t="s">
        <v>349</v>
      </c>
      <c r="N184" s="47" t="s">
        <v>42</v>
      </c>
      <c r="O184" s="121" t="s">
        <v>350</v>
      </c>
      <c r="P184" s="47" t="s">
        <v>36</v>
      </c>
      <c r="Q184" s="47" t="s">
        <v>0</v>
      </c>
      <c r="R184" s="48" t="s">
        <v>43</v>
      </c>
    </row>
    <row r="185" spans="2:18" ht="18.75" thickBot="1" x14ac:dyDescent="0.3">
      <c r="B185" s="148"/>
      <c r="C185" s="149"/>
      <c r="D185" s="149"/>
      <c r="E185" s="149"/>
      <c r="F185" s="149"/>
      <c r="G185" s="149"/>
      <c r="H185" s="149"/>
      <c r="I185" s="149"/>
      <c r="J185" s="149"/>
      <c r="K185" s="150"/>
      <c r="L185" s="49">
        <v>154464.25882399923</v>
      </c>
      <c r="M185" s="122">
        <f>SUM(M14:M182)</f>
        <v>185535.57173705474</v>
      </c>
      <c r="N185" s="49">
        <v>138124.0741914394</v>
      </c>
      <c r="O185" s="122">
        <f>SUM(O14:O182)</f>
        <v>169464.42662547692</v>
      </c>
      <c r="P185" s="49">
        <v>292588.33301543858</v>
      </c>
      <c r="Q185" s="49">
        <v>62411.665347093032</v>
      </c>
      <c r="R185" s="50">
        <v>354999.99836253171</v>
      </c>
    </row>
    <row r="187" spans="2:18" ht="15.75" thickBot="1" x14ac:dyDescent="0.3"/>
    <row r="188" spans="2:18" ht="18" x14ac:dyDescent="0.25">
      <c r="L188" s="134" t="s">
        <v>351</v>
      </c>
      <c r="M188" s="135">
        <f>M185</f>
        <v>185535.57173705474</v>
      </c>
      <c r="N188" s="140">
        <f>M188/M190</f>
        <v>0.52263541575451744</v>
      </c>
    </row>
    <row r="189" spans="2:18" ht="18" x14ac:dyDescent="0.25">
      <c r="L189" s="136" t="s">
        <v>353</v>
      </c>
      <c r="M189" s="137">
        <f>O185</f>
        <v>169464.42662547692</v>
      </c>
      <c r="N189" s="141">
        <f>M189/M190</f>
        <v>0.47736458424548256</v>
      </c>
    </row>
    <row r="190" spans="2:18" ht="18.75" thickBot="1" x14ac:dyDescent="0.3">
      <c r="L190" s="138" t="s">
        <v>352</v>
      </c>
      <c r="M190" s="139">
        <f>M188+M189</f>
        <v>354999.99836253165</v>
      </c>
      <c r="N190" s="142">
        <f>N188+N189</f>
        <v>1</v>
      </c>
    </row>
  </sheetData>
  <mergeCells count="13">
    <mergeCell ref="R11:R12"/>
    <mergeCell ref="B184:K185"/>
    <mergeCell ref="Q11:Q12"/>
    <mergeCell ref="B1:R1"/>
    <mergeCell ref="B2:R5"/>
    <mergeCell ref="G11:G12"/>
    <mergeCell ref="D11:D12"/>
    <mergeCell ref="E11:E12"/>
    <mergeCell ref="F11:F12"/>
    <mergeCell ref="I11:K11"/>
    <mergeCell ref="L11:P11"/>
    <mergeCell ref="B11:B12"/>
    <mergeCell ref="C11:C12"/>
  </mergeCells>
  <pageMargins left="0.511811024" right="0.511811024" top="0.78740157499999996" bottom="0.78740157499999996" header="0.31496062000000002" footer="0.3149606200000000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K6:K36"/>
  <sheetViews>
    <sheetView workbookViewId="0">
      <selection activeCell="K36" sqref="K1:K36"/>
    </sheetView>
  </sheetViews>
  <sheetFormatPr defaultRowHeight="15" x14ac:dyDescent="0.25"/>
  <cols>
    <col min="11" max="11" width="25" customWidth="1"/>
  </cols>
  <sheetData>
    <row r="6" spans="11:11" x14ac:dyDescent="0.25">
      <c r="K6">
        <v>164310.39000000001</v>
      </c>
    </row>
    <row r="7" spans="11:11" x14ac:dyDescent="0.25">
      <c r="K7">
        <v>36583.129999999997</v>
      </c>
    </row>
    <row r="8" spans="11:11" x14ac:dyDescent="0.25">
      <c r="K8">
        <v>8499.02</v>
      </c>
    </row>
    <row r="9" spans="11:11" x14ac:dyDescent="0.25">
      <c r="K9">
        <v>84769.46</v>
      </c>
    </row>
    <row r="10" spans="11:11" x14ac:dyDescent="0.25">
      <c r="K10">
        <v>1558.55</v>
      </c>
    </row>
    <row r="11" spans="11:11" x14ac:dyDescent="0.25">
      <c r="K11">
        <v>13712.64</v>
      </c>
    </row>
    <row r="12" spans="11:11" x14ac:dyDescent="0.25">
      <c r="K12">
        <v>13909.83</v>
      </c>
    </row>
    <row r="13" spans="11:11" x14ac:dyDescent="0.25">
      <c r="K13">
        <v>493.44</v>
      </c>
    </row>
    <row r="14" spans="11:11" x14ac:dyDescent="0.25">
      <c r="K14">
        <v>2754.15</v>
      </c>
    </row>
    <row r="15" spans="11:11" x14ac:dyDescent="0.25">
      <c r="K15">
        <v>2428.09</v>
      </c>
    </row>
    <row r="16" spans="11:11" x14ac:dyDescent="0.25">
      <c r="K16">
        <v>1710.12</v>
      </c>
    </row>
    <row r="17" spans="11:11" x14ac:dyDescent="0.25">
      <c r="K17">
        <v>2727.97</v>
      </c>
    </row>
    <row r="18" spans="11:11" x14ac:dyDescent="0.25">
      <c r="K18">
        <v>10301.4</v>
      </c>
    </row>
    <row r="19" spans="11:11" x14ac:dyDescent="0.25">
      <c r="K19">
        <v>692.73</v>
      </c>
    </row>
    <row r="20" spans="11:11" x14ac:dyDescent="0.25">
      <c r="K20">
        <v>63.03</v>
      </c>
    </row>
    <row r="21" spans="11:11" x14ac:dyDescent="0.25">
      <c r="K21">
        <v>18863.68</v>
      </c>
    </row>
    <row r="22" spans="11:11" x14ac:dyDescent="0.25">
      <c r="K22">
        <v>133.11000000000001</v>
      </c>
    </row>
    <row r="23" spans="11:11" x14ac:dyDescent="0.25">
      <c r="K23">
        <v>14533.31</v>
      </c>
    </row>
    <row r="24" spans="11:11" x14ac:dyDescent="0.25">
      <c r="K24">
        <v>135899.14000000001</v>
      </c>
    </row>
    <row r="25" spans="11:11" x14ac:dyDescent="0.25">
      <c r="K25">
        <v>15171.46</v>
      </c>
    </row>
    <row r="26" spans="11:11" x14ac:dyDescent="0.25">
      <c r="K26">
        <v>32257.35</v>
      </c>
    </row>
    <row r="27" spans="11:11" x14ac:dyDescent="0.25">
      <c r="K27">
        <v>293618.09999999998</v>
      </c>
    </row>
    <row r="28" spans="11:11" x14ac:dyDescent="0.25">
      <c r="K28">
        <v>35107.19</v>
      </c>
    </row>
    <row r="29" spans="11:11" x14ac:dyDescent="0.25">
      <c r="K29">
        <v>1331.55</v>
      </c>
    </row>
    <row r="30" spans="11:11" x14ac:dyDescent="0.25">
      <c r="K30">
        <v>1844.36</v>
      </c>
    </row>
    <row r="31" spans="11:11" x14ac:dyDescent="0.25">
      <c r="K31">
        <v>17902.75</v>
      </c>
    </row>
    <row r="32" spans="11:11" x14ac:dyDescent="0.25">
      <c r="K32">
        <v>766865.38</v>
      </c>
    </row>
    <row r="33" spans="11:11" x14ac:dyDescent="0.25">
      <c r="K33">
        <v>4906.5200000000004</v>
      </c>
    </row>
    <row r="34" spans="11:11" x14ac:dyDescent="0.25">
      <c r="K34">
        <v>67005</v>
      </c>
    </row>
    <row r="35" spans="11:11" x14ac:dyDescent="0.25">
      <c r="K35">
        <v>53861.26</v>
      </c>
    </row>
    <row r="36" spans="11:11" x14ac:dyDescent="0.25">
      <c r="K36">
        <f>SUM(K6:K35)</f>
        <v>1803814.11</v>
      </c>
    </row>
  </sheetData>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2</vt:i4>
      </vt:variant>
    </vt:vector>
  </HeadingPairs>
  <TitlesOfParts>
    <vt:vector size="2" baseType="lpstr">
      <vt:lpstr>S</vt:lpstr>
      <vt:lpstr>Planilha1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Anadélia Trentini Campara</dc:creator>
  <cp:lastModifiedBy>Kelvi Leandro da Silva</cp:lastModifiedBy>
  <cp:lastPrinted>2024-06-05T17:39:34Z</cp:lastPrinted>
  <dcterms:created xsi:type="dcterms:W3CDTF">2011-09-15T18:47:22Z</dcterms:created>
  <dcterms:modified xsi:type="dcterms:W3CDTF">2025-01-29T19:04:16Z</dcterms:modified>
</cp:coreProperties>
</file>